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Как заполнять" sheetId="2" state="visible" r:id="rId4"/>
  </sheets>
  <definedNames>
    <definedName function="false" hidden="true" localSheetId="0" name="_xlnm._FilterDatabase" vbProcedure="false">Товары!$A$1:$X$411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Ключ товара в finstock (products.barcode).</t>
        </r>
      </text>
    </comment>
    <comment ref="B1" authorId="0">
      <text>
        <r>
          <rPr>
            <sz val="10"/>
            <rFont val="Arial"/>
            <family val="2"/>
          </rPr>
          <t xml:space="preserve">vendorCode WB. В finstock — article; у второго и следующих размеров finstock добавляет суффикс.</t>
        </r>
      </text>
    </comment>
    <comment ref="G1" authorId="0">
      <text>
        <r>
          <rPr>
            <sz val="10"/>
            <rFont val="Arial"/>
            <family val="2"/>
          </rPr>
          <t xml:space="preserve">Закупочная цена за 1 шт. Жёлтые пустые ячейки — заполнить.</t>
        </r>
      </text>
    </comment>
    <comment ref="H1" authorId="0">
      <text>
        <r>
          <rPr>
            <sz val="10"/>
            <rFont val="Arial"/>
            <family val="2"/>
          </rPr>
          <t xml:space="preserve">fact — цифра владельца; analogy — по аналогичному товару; guess — прикидка. Те же значения, что в finstock (cost_source).</t>
        </r>
      </text>
    </comment>
    <comment ref="J1" authorId="0">
      <text>
        <r>
          <rPr>
            <sz val="10"/>
            <rFont val="Arial"/>
            <family val="2"/>
          </rPr>
          <t xml:space="preserve">Склад «Краснодар», снимок 18.09.2026.</t>
        </r>
      </text>
    </comment>
    <comment ref="M1" authorId="0">
      <text>
        <r>
          <rPr>
            <sz val="10"/>
            <rFont val="Arial"/>
            <family val="2"/>
          </rPr>
          <t xml:space="preserve">Цена, от которой WB считает комиссию. Покупатель видит ниже — см. следующую колонку.</t>
        </r>
      </text>
    </comment>
    <comment ref="N1" authorId="0">
      <text>
        <r>
          <rPr>
            <sz val="10"/>
            <rFont val="Arial"/>
            <family val="2"/>
          </rPr>
          <t xml:space="preserve">Что видит покупатель с учётом СПП WB (регион Москва). Есть только у товаров в наличии.</t>
        </r>
      </text>
    </comment>
    <comment ref="O1" authorId="0">
      <text>
        <r>
          <rPr>
            <sz val="10"/>
            <rFont val="Arial"/>
            <family val="2"/>
          </rPr>
          <t xml:space="preserve">Формула: себестоимость ÷ цена WB со скидкой продавца.</t>
        </r>
      </text>
    </comment>
  </commentList>
</comments>
</file>

<file path=xl/sharedStrings.xml><?xml version="1.0" encoding="utf-8"?>
<sst xmlns="http://schemas.openxmlformats.org/spreadsheetml/2006/main" count="3683" uniqueCount="1485">
  <si>
    <t xml:space="preserve">Штрихкод</t>
  </si>
  <si>
    <t xml:space="preserve">Артикул продавца</t>
  </si>
  <si>
    <t xml:space="preserve">Артикул WB</t>
  </si>
  <si>
    <t xml:space="preserve">Размер</t>
  </si>
  <si>
    <t xml:space="preserve">Название</t>
  </si>
  <si>
    <t xml:space="preserve">Категория WB</t>
  </si>
  <si>
    <t xml:space="preserve">Себестоимость, ₽</t>
  </si>
  <si>
    <t xml:space="preserve">Источник себестоимости</t>
  </si>
  <si>
    <t xml:space="preserve">Откуда цифра</t>
  </si>
  <si>
    <t xml:space="preserve">Остаток FBS WB, шт</t>
  </si>
  <si>
    <t xml:space="preserve">WB: цена до скидки, ₽</t>
  </si>
  <si>
    <t xml:space="preserve">WB: скидка продавца, %</t>
  </si>
  <si>
    <t xml:space="preserve">WB: цена со скидкой продавца, ₽</t>
  </si>
  <si>
    <t xml:space="preserve">WB: цена на витрине, ₽</t>
  </si>
  <si>
    <t xml:space="preserve">Себестоимость / цена WB со скидкой</t>
  </si>
  <si>
    <t xml:space="preserve">KIT: цена до скидки, ₽</t>
  </si>
  <si>
    <t xml:space="preserve">KIT: цена продажи, ₽</t>
  </si>
  <si>
    <t xml:space="preserve">KIT: статус</t>
  </si>
  <si>
    <t xml:space="preserve">Ozon: цена, ₽</t>
  </si>
  <si>
    <t xml:space="preserve">Ozon: до скидки, ₽</t>
  </si>
  <si>
    <t xml:space="preserve">ЯМ: цена, ₽</t>
  </si>
  <si>
    <t xml:space="preserve">ЯМ: до скидки, ₽</t>
  </si>
  <si>
    <t xml:space="preserve">Ссылка WB</t>
  </si>
  <si>
    <t xml:space="preserve">Ссылка KIT</t>
  </si>
  <si>
    <t xml:space="preserve">2041383032873</t>
  </si>
  <si>
    <t xml:space="preserve">JW-NB-AGT-M-0002</t>
  </si>
  <si>
    <t xml:space="preserve">259678801</t>
  </si>
  <si>
    <t xml:space="preserve">19</t>
  </si>
  <si>
    <t xml:space="preserve">Браслет "Мудрость Будды" с бусиной и мантрой для медитации</t>
  </si>
  <si>
    <t xml:space="preserve">Браслеты</t>
  </si>
  <si>
    <t xml:space="preserve">опубликован</t>
  </si>
  <si>
    <t xml:space="preserve">открыть</t>
  </si>
  <si>
    <t xml:space="preserve">2042285696378</t>
  </si>
  <si>
    <t xml:space="preserve">JW-NB-AGT-M-0041</t>
  </si>
  <si>
    <t xml:space="preserve">303598439</t>
  </si>
  <si>
    <t xml:space="preserve">Браслет Вершитель с метеоритом Муонионалуста и лабрадоритом</t>
  </si>
  <si>
    <t xml:space="preserve">fact</t>
  </si>
  <si>
    <t xml:space="preserve">таблица себестоимости владельца (data/cogs-source.tsv)</t>
  </si>
  <si>
    <t xml:space="preserve">2042037693792</t>
  </si>
  <si>
    <t xml:space="preserve">JW-NB-AGT-M-0033</t>
  </si>
  <si>
    <t xml:space="preserve">292157496</t>
  </si>
  <si>
    <t xml:space="preserve">Браслет Звёздный маг с метеоритом Алетай и бусиной Дзи</t>
  </si>
  <si>
    <t xml:space="preserve">2042770600712</t>
  </si>
  <si>
    <t xml:space="preserve">JW-NB-AGT-M-0073</t>
  </si>
  <si>
    <t xml:space="preserve">327127352</t>
  </si>
  <si>
    <t xml:space="preserve">Браслет Синергия с метеоритом Алетай и лабрадоритом</t>
  </si>
  <si>
    <t xml:space="preserve">2046702672310</t>
  </si>
  <si>
    <t xml:space="preserve">76875674543</t>
  </si>
  <si>
    <t xml:space="preserve">567344728</t>
  </si>
  <si>
    <t xml:space="preserve">16</t>
  </si>
  <si>
    <t xml:space="preserve">Браслет женский Сердце Будды с метеоритом Алетай и Дзи</t>
  </si>
  <si>
    <t xml:space="preserve">2044230961111</t>
  </si>
  <si>
    <t xml:space="preserve">4535657887</t>
  </si>
  <si>
    <t xml:space="preserve">430742201</t>
  </si>
  <si>
    <t xml:space="preserve">Браслет из натуральных камней с метеоритом Муонионалуста</t>
  </si>
  <si>
    <t xml:space="preserve">2042353656495</t>
  </si>
  <si>
    <t xml:space="preserve">JW-NB-AGT-M-0047</t>
  </si>
  <si>
    <t xml:space="preserve">306818299</t>
  </si>
  <si>
    <t xml:space="preserve">Мужской браслет Прометей лабрадорит с метеоритом Алетай</t>
  </si>
  <si>
    <t xml:space="preserve">2047852183152</t>
  </si>
  <si>
    <t xml:space="preserve">6363638900098</t>
  </si>
  <si>
    <t xml:space="preserve">702062898</t>
  </si>
  <si>
    <t xml:space="preserve">17</t>
  </si>
  <si>
    <t xml:space="preserve">Мужской браслет из натуральных камней с метеоритом Алетай</t>
  </si>
  <si>
    <t xml:space="preserve">2047852179018</t>
  </si>
  <si>
    <t xml:space="preserve">скрыт</t>
  </si>
  <si>
    <t xml:space="preserve">2047852194134</t>
  </si>
  <si>
    <t xml:space="preserve">20</t>
  </si>
  <si>
    <t xml:space="preserve">2051508626795</t>
  </si>
  <si>
    <t xml:space="preserve">7839265936522</t>
  </si>
  <si>
    <t xml:space="preserve">1068044235</t>
  </si>
  <si>
    <t xml:space="preserve">Амулет бусина Дзи 9 глаз из ливийского стекла, талисман</t>
  </si>
  <si>
    <t xml:space="preserve">Обереги</t>
  </si>
  <si>
    <t xml:space="preserve">2050776784459</t>
  </si>
  <si>
    <t xml:space="preserve">23434324356</t>
  </si>
  <si>
    <t xml:space="preserve">989737513</t>
  </si>
  <si>
    <t xml:space="preserve">Бусина Дзи 9 глаз из метеорита Алетай, амулет оберег</t>
  </si>
  <si>
    <t xml:space="preserve">2050763339860</t>
  </si>
  <si>
    <t xml:space="preserve">49283098493247</t>
  </si>
  <si>
    <t xml:space="preserve">988359699</t>
  </si>
  <si>
    <t xml:space="preserve">Бусина Дзи 9 глаз метеорит Алетай, золото, амулет оберег</t>
  </si>
  <si>
    <t xml:space="preserve">2050769090710</t>
  </si>
  <si>
    <t xml:space="preserve">9890888766543</t>
  </si>
  <si>
    <t xml:space="preserve">988801724</t>
  </si>
  <si>
    <t xml:space="preserve">Бусина Дзи из метеорита Алетай</t>
  </si>
  <si>
    <t xml:space="preserve">2050761441312</t>
  </si>
  <si>
    <t xml:space="preserve">987896756453</t>
  </si>
  <si>
    <t xml:space="preserve">988261734</t>
  </si>
  <si>
    <t xml:space="preserve">Кулон Дракон из метеорита Алетай, амулет оберег резной</t>
  </si>
  <si>
    <t xml:space="preserve">2052706255442</t>
  </si>
  <si>
    <t xml:space="preserve">546782654332</t>
  </si>
  <si>
    <t xml:space="preserve">1201433951</t>
  </si>
  <si>
    <t xml:space="preserve">Кулон Пи Яо из метеорита Алетай, амулет изобилия, оберег</t>
  </si>
  <si>
    <t xml:space="preserve">2050777145457</t>
  </si>
  <si>
    <t xml:space="preserve">3652765874365876</t>
  </si>
  <si>
    <t xml:space="preserve">989770544</t>
  </si>
  <si>
    <t xml:space="preserve">Кулон Чжун Куй из индошинита, амулет защиты, оберег</t>
  </si>
  <si>
    <t xml:space="preserve">2050859936980</t>
  </si>
  <si>
    <t xml:space="preserve">23522321414241</t>
  </si>
  <si>
    <t xml:space="preserve">996271114</t>
  </si>
  <si>
    <t xml:space="preserve">Кулон Чжун Куй из индошинита, амулет защиты, оберег резной</t>
  </si>
  <si>
    <t xml:space="preserve">2048888778534</t>
  </si>
  <si>
    <t xml:space="preserve">97829723765327853</t>
  </si>
  <si>
    <t xml:space="preserve">815367526</t>
  </si>
  <si>
    <t xml:space="preserve">Кулон из метеорита Алетай, оберег амулет</t>
  </si>
  <si>
    <t xml:space="preserve">2050945148358</t>
  </si>
  <si>
    <t xml:space="preserve">76874434533232</t>
  </si>
  <si>
    <t xml:space="preserve">1002907466</t>
  </si>
  <si>
    <t xml:space="preserve">Кулон-амулет паук из индошинита, тектит, оберег талисман</t>
  </si>
  <si>
    <t xml:space="preserve">2047094830647</t>
  </si>
  <si>
    <t xml:space="preserve">79358476457846</t>
  </si>
  <si>
    <t xml:space="preserve">597014053</t>
  </si>
  <si>
    <t xml:space="preserve">Метеорит Дронино железный коллекционный образец 27,8 гр</t>
  </si>
  <si>
    <t xml:space="preserve">analogy</t>
  </si>
  <si>
    <t xml:space="preserve">оценка по аналогичному товару, июнь 2026 (data/cogs-sellable-2026-06.tsv) — проверить</t>
  </si>
  <si>
    <t xml:space="preserve">2048907296230</t>
  </si>
  <si>
    <t xml:space="preserve">097976675675454</t>
  </si>
  <si>
    <t xml:space="preserve">817125168</t>
  </si>
  <si>
    <t xml:space="preserve">Метеорит Дронино железный, коллекционный образец 62,1 гр</t>
  </si>
  <si>
    <t xml:space="preserve">2047094769664</t>
  </si>
  <si>
    <t xml:space="preserve">9878765445421</t>
  </si>
  <si>
    <t xml:space="preserve">597008791</t>
  </si>
  <si>
    <t xml:space="preserve">Метеорит Дронино железный, коллекционный образец №7</t>
  </si>
  <si>
    <t xml:space="preserve">2048907777005</t>
  </si>
  <si>
    <t xml:space="preserve">9830967956621</t>
  </si>
  <si>
    <t xml:space="preserve">817179030</t>
  </si>
  <si>
    <t xml:space="preserve">Метеорит Кампо-дель-Сьело железный образец 27,1 гр, оберег</t>
  </si>
  <si>
    <t xml:space="preserve">2044506852761</t>
  </si>
  <si>
    <t xml:space="preserve">584348679</t>
  </si>
  <si>
    <t xml:space="preserve">447795230</t>
  </si>
  <si>
    <t xml:space="preserve">Метеорит Сихотэ-Алинь</t>
  </si>
  <si>
    <t xml:space="preserve">2045909391406</t>
  </si>
  <si>
    <t xml:space="preserve">9998765443</t>
  </si>
  <si>
    <t xml:space="preserve">528127722</t>
  </si>
  <si>
    <t xml:space="preserve">Метеорит Сихотэ-Алинь железный, коллекционный образец №4</t>
  </si>
  <si>
    <t xml:space="preserve">2045909532700</t>
  </si>
  <si>
    <t xml:space="preserve">98877665437</t>
  </si>
  <si>
    <t xml:space="preserve">528137045</t>
  </si>
  <si>
    <t xml:space="preserve">Метеорит Сихотэ-Алинь железный, коллекционный образец №5</t>
  </si>
  <si>
    <t xml:space="preserve">2049066254079</t>
  </si>
  <si>
    <t xml:space="preserve">2374238759463943</t>
  </si>
  <si>
    <t xml:space="preserve">826761260</t>
  </si>
  <si>
    <t xml:space="preserve">Метеорит Сихотэ-Алинь железный, образец 19,4 гр, оберег</t>
  </si>
  <si>
    <t xml:space="preserve">2049066534157</t>
  </si>
  <si>
    <t xml:space="preserve">89235856463594</t>
  </si>
  <si>
    <t xml:space="preserve">826793732</t>
  </si>
  <si>
    <t xml:space="preserve">Метеорит Сихотэ-Алинь железный, образец 31,1 гр, оберег</t>
  </si>
  <si>
    <t xml:space="preserve">2049387876936</t>
  </si>
  <si>
    <t xml:space="preserve">03982907587</t>
  </si>
  <si>
    <t xml:space="preserve">859651570</t>
  </si>
  <si>
    <t xml:space="preserve">Метеорит Сихотэ-Алинь железный, образец 55,7 гр, оберег</t>
  </si>
  <si>
    <t xml:space="preserve">2056117258511</t>
  </si>
  <si>
    <t xml:space="preserve">6775654432</t>
  </si>
  <si>
    <t xml:space="preserve">1532068755</t>
  </si>
  <si>
    <t xml:space="preserve">Метеорит Сихотэ-Алинь коллекционный образец 4,8 гр, оберег</t>
  </si>
  <si>
    <t xml:space="preserve">нет в KIT</t>
  </si>
  <si>
    <t xml:space="preserve">2056115856993</t>
  </si>
  <si>
    <t xml:space="preserve">99876432</t>
  </si>
  <si>
    <t xml:space="preserve">1531869880</t>
  </si>
  <si>
    <t xml:space="preserve">Метеорит Сихотэ-Алинь коллекционный образец 5,8 гр, оберег</t>
  </si>
  <si>
    <t xml:space="preserve">2056115503644</t>
  </si>
  <si>
    <t xml:space="preserve">878766754355</t>
  </si>
  <si>
    <t xml:space="preserve">1531849856</t>
  </si>
  <si>
    <t xml:space="preserve">Метеорит Сихотэ-Алинь коллекционный образец 7,3 гр, оберег</t>
  </si>
  <si>
    <t xml:space="preserve">2053611934965</t>
  </si>
  <si>
    <t xml:space="preserve">987767564352</t>
  </si>
  <si>
    <t xml:space="preserve">1280391081</t>
  </si>
  <si>
    <t xml:space="preserve">Метеорит Сихотэ-Алинь коллекционный образец 8,7 гр, оберег</t>
  </si>
  <si>
    <t xml:space="preserve">2056114806326</t>
  </si>
  <si>
    <t xml:space="preserve">9080765543543</t>
  </si>
  <si>
    <t xml:space="preserve">1531792237</t>
  </si>
  <si>
    <t xml:space="preserve">Метеорит Сихотэ-Алинь коллекционный образец 9 гр, оберег</t>
  </si>
  <si>
    <t xml:space="preserve">2048101187990</t>
  </si>
  <si>
    <t xml:space="preserve">8759236456221</t>
  </si>
  <si>
    <t xml:space="preserve">731567520</t>
  </si>
  <si>
    <t xml:space="preserve">Метеорит Царев (горбушка) 34,5 гр.</t>
  </si>
  <si>
    <t xml:space="preserve">2049064836468</t>
  </si>
  <si>
    <t xml:space="preserve">87494658726767861</t>
  </si>
  <si>
    <t xml:space="preserve">826574563</t>
  </si>
  <si>
    <t xml:space="preserve">Метеорит Царёв каменный образец 119 гр, подарок мужчине</t>
  </si>
  <si>
    <t xml:space="preserve">2049064959464</t>
  </si>
  <si>
    <t xml:space="preserve">7866556434221</t>
  </si>
  <si>
    <t xml:space="preserve">826589694</t>
  </si>
  <si>
    <t xml:space="preserve">Метеорит Царёв каменный образец 30 гр, оберег коллекционный</t>
  </si>
  <si>
    <t xml:space="preserve">2049064876730</t>
  </si>
  <si>
    <t xml:space="preserve">8768757655223</t>
  </si>
  <si>
    <t xml:space="preserve">826579332</t>
  </si>
  <si>
    <t xml:space="preserve">Метеорит Царёв каменный образец 33 гр, оберег коллекционный</t>
  </si>
  <si>
    <t xml:space="preserve">2052093482261</t>
  </si>
  <si>
    <t xml:space="preserve">224235677890</t>
  </si>
  <si>
    <t xml:space="preserve">1128998482</t>
  </si>
  <si>
    <t xml:space="preserve">Метеорит Царёв каменный образец 34 гр, оберег подарок</t>
  </si>
  <si>
    <t xml:space="preserve">2052093250815</t>
  </si>
  <si>
    <t xml:space="preserve">545677665534</t>
  </si>
  <si>
    <t xml:space="preserve">1128927754</t>
  </si>
  <si>
    <t xml:space="preserve">Метеорит Царёв каменный образец 64 гр, оберег подарок</t>
  </si>
  <si>
    <t xml:space="preserve">2056472102023</t>
  </si>
  <si>
    <t xml:space="preserve">6547891</t>
  </si>
  <si>
    <t xml:space="preserve">1566899844</t>
  </si>
  <si>
    <t xml:space="preserve">Метеорит Царёв каменный, коллекционный образец 16,5 гр</t>
  </si>
  <si>
    <t xml:space="preserve">2048696232464</t>
  </si>
  <si>
    <t xml:space="preserve">403874694</t>
  </si>
  <si>
    <t xml:space="preserve">795157398</t>
  </si>
  <si>
    <t xml:space="preserve">Метеорит Царёв каменный, коллекционный образец 29,3 гр</t>
  </si>
  <si>
    <t xml:space="preserve">2051343913708</t>
  </si>
  <si>
    <t xml:space="preserve">87987392637</t>
  </si>
  <si>
    <t xml:space="preserve">1041264341</t>
  </si>
  <si>
    <t xml:space="preserve">Мужской браслет из натуральных камней с каменным метеоритом</t>
  </si>
  <si>
    <t xml:space="preserve">2049405532066</t>
  </si>
  <si>
    <t xml:space="preserve">38259864653534</t>
  </si>
  <si>
    <t xml:space="preserve">861577726</t>
  </si>
  <si>
    <t xml:space="preserve">Подвеска Манджушри из метеорита Алетай, амулет оберег</t>
  </si>
  <si>
    <t xml:space="preserve">2056602572160</t>
  </si>
  <si>
    <t xml:space="preserve">8886445231</t>
  </si>
  <si>
    <t xml:space="preserve">1575434029</t>
  </si>
  <si>
    <t xml:space="preserve">Подвеска с метеоритом и молдавитом "Звезда Пути"</t>
  </si>
  <si>
    <t xml:space="preserve">2055114749251</t>
  </si>
  <si>
    <t xml:space="preserve">8787554322</t>
  </si>
  <si>
    <t xml:space="preserve">1458298879</t>
  </si>
  <si>
    <t xml:space="preserve">Серьги с Молдавитом</t>
  </si>
  <si>
    <t xml:space="preserve">2055074620560</t>
  </si>
  <si>
    <t xml:space="preserve">7575443412</t>
  </si>
  <si>
    <t xml:space="preserve">1454981206</t>
  </si>
  <si>
    <t xml:space="preserve">2048713029541</t>
  </si>
  <si>
    <t xml:space="preserve">835694653692</t>
  </si>
  <si>
    <t xml:space="preserve">796862816</t>
  </si>
  <si>
    <t xml:space="preserve">Фигурка Будда из каменного метеорита, 77,3 гр, оберег</t>
  </si>
  <si>
    <t xml:space="preserve">2049427663021</t>
  </si>
  <si>
    <t xml:space="preserve">9863479136591751</t>
  </si>
  <si>
    <t xml:space="preserve">863787328</t>
  </si>
  <si>
    <t xml:space="preserve">Фигурка Будда из каменного метеорита, коллекционная, оберег</t>
  </si>
  <si>
    <t xml:space="preserve">2055399922189</t>
  </si>
  <si>
    <t xml:space="preserve">786654312345678</t>
  </si>
  <si>
    <t xml:space="preserve">1479354734</t>
  </si>
  <si>
    <t xml:space="preserve">Крест с метеоритом Муонионалуста, подвеска оберег</t>
  </si>
  <si>
    <t xml:space="preserve">Подвески бижутерные</t>
  </si>
  <si>
    <t xml:space="preserve">2042359242661</t>
  </si>
  <si>
    <t xml:space="preserve">JW-NB-AGT-M-0048</t>
  </si>
  <si>
    <t xml:space="preserve">307131325</t>
  </si>
  <si>
    <t xml:space="preserve">Кулон "Денежный страж" из метеорита Муонионалуста</t>
  </si>
  <si>
    <t xml:space="preserve">2047668668362</t>
  </si>
  <si>
    <t xml:space="preserve">872395643876</t>
  </si>
  <si>
    <t xml:space="preserve">678735474</t>
  </si>
  <si>
    <t xml:space="preserve">Кулон женский из метеорита Алетай, амулет оберег, подарок</t>
  </si>
  <si>
    <t xml:space="preserve">2042050714764</t>
  </si>
  <si>
    <t xml:space="preserve">JW-NB-AGT-M-0035</t>
  </si>
  <si>
    <t xml:space="preserve">292662989</t>
  </si>
  <si>
    <t xml:space="preserve">Подвеска Меркаба с метеоритом Муонионалуста, оберег</t>
  </si>
  <si>
    <t xml:space="preserve">2056250296869</t>
  </si>
  <si>
    <t xml:space="preserve">328579741111</t>
  </si>
  <si>
    <t xml:space="preserve">1543937085</t>
  </si>
  <si>
    <t xml:space="preserve">Подвеска женская "Сияние" с метеоритом Муонионалуста</t>
  </si>
  <si>
    <t xml:space="preserve">2056116685417</t>
  </si>
  <si>
    <t xml:space="preserve">343434567879</t>
  </si>
  <si>
    <t xml:space="preserve">1532017989</t>
  </si>
  <si>
    <t xml:space="preserve">Подвеска женская Сияние с метеоритом Муонионалуста, оберег</t>
  </si>
  <si>
    <t xml:space="preserve">2043465141060</t>
  </si>
  <si>
    <t xml:space="preserve">JW-NB-AGT-M-0098</t>
  </si>
  <si>
    <t xml:space="preserve">378674958</t>
  </si>
  <si>
    <t xml:space="preserve">Подвеска женская мелонг из метеорита Алетай, амулет оберег</t>
  </si>
  <si>
    <t xml:space="preserve">2049405433813</t>
  </si>
  <si>
    <t xml:space="preserve">375485732833861</t>
  </si>
  <si>
    <t xml:space="preserve">861562848</t>
  </si>
  <si>
    <t xml:space="preserve">Подвеска и метеоритом Серичо</t>
  </si>
  <si>
    <t xml:space="preserve">2043464730241</t>
  </si>
  <si>
    <t xml:space="preserve">JW-NB-AGT-M-0097</t>
  </si>
  <si>
    <t xml:space="preserve">378649009</t>
  </si>
  <si>
    <t xml:space="preserve">Подвеска из метеорита Муонионалуста</t>
  </si>
  <si>
    <t xml:space="preserve">2041942767208</t>
  </si>
  <si>
    <t xml:space="preserve">JW-NB-AGT-M-0029</t>
  </si>
  <si>
    <t xml:space="preserve">288116175</t>
  </si>
  <si>
    <t xml:space="preserve">Подвеска с метеоритом</t>
  </si>
  <si>
    <t xml:space="preserve">2041942946931</t>
  </si>
  <si>
    <t xml:space="preserve">JW-NB-AGT-M-0031</t>
  </si>
  <si>
    <t xml:space="preserve">288129588</t>
  </si>
  <si>
    <t xml:space="preserve">2044473196868</t>
  </si>
  <si>
    <t xml:space="preserve">97876575454</t>
  </si>
  <si>
    <t xml:space="preserve">446306396</t>
  </si>
  <si>
    <t xml:space="preserve">Подвеска с метеоритом Муонионалуста и Молдавитом</t>
  </si>
  <si>
    <t xml:space="preserve">2056667714802</t>
  </si>
  <si>
    <t xml:space="preserve">888656432241</t>
  </si>
  <si>
    <t xml:space="preserve">1579421243</t>
  </si>
  <si>
    <t xml:space="preserve">Подвеска с метеоритом Серичо</t>
  </si>
  <si>
    <t xml:space="preserve">2043467603641</t>
  </si>
  <si>
    <t xml:space="preserve">JW-NB-AGT-M-0099</t>
  </si>
  <si>
    <t xml:space="preserve">378971071</t>
  </si>
  <si>
    <t xml:space="preserve">2055399469936</t>
  </si>
  <si>
    <t xml:space="preserve">7865574452</t>
  </si>
  <si>
    <t xml:space="preserve">1479315655</t>
  </si>
  <si>
    <t xml:space="preserve">2046267500288</t>
  </si>
  <si>
    <t xml:space="preserve">35032037</t>
  </si>
  <si>
    <t xml:space="preserve">542414965</t>
  </si>
  <si>
    <t xml:space="preserve">Метеорит Дронино железный коллекционный образец 60,2 гр</t>
  </si>
  <si>
    <t xml:space="preserve">Природные материалы для творчества</t>
  </si>
  <si>
    <t xml:space="preserve">2043413991419</t>
  </si>
  <si>
    <t xml:space="preserve">JW-NB-AGT-M-0095</t>
  </si>
  <si>
    <t xml:space="preserve">374584531</t>
  </si>
  <si>
    <t xml:space="preserve">Метеорит Дронино железный коллекционный образец, подарок</t>
  </si>
  <si>
    <t xml:space="preserve">2043296349116</t>
  </si>
  <si>
    <t xml:space="preserve">JW-NB-AGT-M-0086</t>
  </si>
  <si>
    <t xml:space="preserve">366261520</t>
  </si>
  <si>
    <t xml:space="preserve">Метеорит Дронино железный, коллекционный образец №1</t>
  </si>
  <si>
    <t xml:space="preserve">2045713660026</t>
  </si>
  <si>
    <t xml:space="preserve">7777665443</t>
  </si>
  <si>
    <t xml:space="preserve">516988052</t>
  </si>
  <si>
    <t xml:space="preserve">Метеорит Дронино железный, коллекционный образец №4</t>
  </si>
  <si>
    <t xml:space="preserve">2045714273881</t>
  </si>
  <si>
    <t xml:space="preserve">88373654562782</t>
  </si>
  <si>
    <t xml:space="preserve">517010714</t>
  </si>
  <si>
    <t xml:space="preserve">Метеорит Дронино железный, коллекционный образец №5</t>
  </si>
  <si>
    <t xml:space="preserve">2041385829402</t>
  </si>
  <si>
    <t xml:space="preserve">JW-NB-AGT-M-0018</t>
  </si>
  <si>
    <t xml:space="preserve">267915412</t>
  </si>
  <si>
    <t xml:space="preserve">Метеорит Кампо-дель-Сьело железный коллекционный образец</t>
  </si>
  <si>
    <t xml:space="preserve">2052706439774</t>
  </si>
  <si>
    <t xml:space="preserve">8787676543</t>
  </si>
  <si>
    <t xml:space="preserve">1201463781</t>
  </si>
  <si>
    <t xml:space="preserve">Метеорит Каньон Дьябло - коллекционный образец: 14,2 гр.</t>
  </si>
  <si>
    <t xml:space="preserve">2056470559638</t>
  </si>
  <si>
    <t xml:space="preserve">87690321</t>
  </si>
  <si>
    <t xml:space="preserve">1566842358</t>
  </si>
  <si>
    <t xml:space="preserve">Метеорит Каньон Дьябло - коллекционный образец: 8,4 гр.</t>
  </si>
  <si>
    <t xml:space="preserve">2043736090998</t>
  </si>
  <si>
    <t xml:space="preserve">JW-NB-AGT-M-0127</t>
  </si>
  <si>
    <t xml:space="preserve">395873544</t>
  </si>
  <si>
    <t xml:space="preserve">Метеорит Сихотэ-Алинь железный коллекционный, оберег</t>
  </si>
  <si>
    <t xml:space="preserve">2045888021431</t>
  </si>
  <si>
    <t xml:space="preserve">9345896543</t>
  </si>
  <si>
    <t xml:space="preserve">526554159</t>
  </si>
  <si>
    <t xml:space="preserve">Метеорит Сихотэ-Алинь железный, коллекционный образец №2</t>
  </si>
  <si>
    <t xml:space="preserve">2041456329848</t>
  </si>
  <si>
    <t xml:space="preserve">JW-NB-AGT-M-0022</t>
  </si>
  <si>
    <t xml:space="preserve">270419874</t>
  </si>
  <si>
    <t xml:space="preserve">Метеорит Сихотэ-Алинь железный, осколок, образец</t>
  </si>
  <si>
    <t xml:space="preserve">2044461619959</t>
  </si>
  <si>
    <t xml:space="preserve">567567542342</t>
  </si>
  <si>
    <t xml:space="preserve">445351461</t>
  </si>
  <si>
    <t xml:space="preserve">Метеорит Сихотэ-Алинь коллекционный образец 12 гр, оберег</t>
  </si>
  <si>
    <t xml:space="preserve">2044462241173</t>
  </si>
  <si>
    <t xml:space="preserve">098876674</t>
  </si>
  <si>
    <t xml:space="preserve">445397811</t>
  </si>
  <si>
    <t xml:space="preserve">Метеорит Сихотэ-Алинь коллекционный образец 24 гр, оберег</t>
  </si>
  <si>
    <t xml:space="preserve">2050860410158</t>
  </si>
  <si>
    <t xml:space="preserve">483927596635743</t>
  </si>
  <si>
    <t xml:space="preserve">996336745</t>
  </si>
  <si>
    <t xml:space="preserve">Метеорит Царёв каменный коллекционный образец 169 гр</t>
  </si>
  <si>
    <t xml:space="preserve">2057081661222</t>
  </si>
  <si>
    <t xml:space="preserve">555978675645</t>
  </si>
  <si>
    <t xml:space="preserve">1629432990</t>
  </si>
  <si>
    <t xml:space="preserve">Метеорит Царёв каменный коллекционный образец 253,3 гр.</t>
  </si>
  <si>
    <t xml:space="preserve">2044245185854</t>
  </si>
  <si>
    <t xml:space="preserve">6565542</t>
  </si>
  <si>
    <t xml:space="preserve">431548944</t>
  </si>
  <si>
    <t xml:space="preserve">Часы наручные женские с метеоритом Муонионалуста, подарок</t>
  </si>
  <si>
    <t xml:space="preserve">Часы наручные</t>
  </si>
  <si>
    <t xml:space="preserve">2041941855531</t>
  </si>
  <si>
    <t xml:space="preserve">JW-NB-AGT-M-0028</t>
  </si>
  <si>
    <t xml:space="preserve">288063036</t>
  </si>
  <si>
    <t xml:space="preserve">Шарм подвеска с Метеоритом</t>
  </si>
  <si>
    <t xml:space="preserve">Шармы-подвески</t>
  </si>
  <si>
    <t xml:space="preserve">2041433496372</t>
  </si>
  <si>
    <t xml:space="preserve">JW-NB-AGT-M-0019</t>
  </si>
  <si>
    <t xml:space="preserve">269374290</t>
  </si>
  <si>
    <t xml:space="preserve">Браслет "Амрита" с метеоритом Алетай защитный талисман</t>
  </si>
  <si>
    <t xml:space="preserve">2042443326352</t>
  </si>
  <si>
    <t xml:space="preserve">2041286209891</t>
  </si>
  <si>
    <t xml:space="preserve">JW-NB-AGT-M-0005</t>
  </si>
  <si>
    <t xml:space="preserve">263616667</t>
  </si>
  <si>
    <t xml:space="preserve">Браслет "Амрита" с метеоритом Алетай и агатом талисман</t>
  </si>
  <si>
    <t xml:space="preserve">2042386937141</t>
  </si>
  <si>
    <t xml:space="preserve">18</t>
  </si>
  <si>
    <t xml:space="preserve">2042327399366</t>
  </si>
  <si>
    <t xml:space="preserve">2041504963833</t>
  </si>
  <si>
    <t xml:space="preserve">JW-NB-AGT-M-0027</t>
  </si>
  <si>
    <t xml:space="preserve">272447123</t>
  </si>
  <si>
    <t xml:space="preserve">Браслет "Амулет яснознания" с бусиной Дзи 21 глаз</t>
  </si>
  <si>
    <t xml:space="preserve">2042154066417</t>
  </si>
  <si>
    <t xml:space="preserve">JW-NB-AGT-M-0038</t>
  </si>
  <si>
    <t xml:space="preserve">298059552</t>
  </si>
  <si>
    <t xml:space="preserve">Браслет "Девять Врат" с бусиной Дзи 9 глаз талисман</t>
  </si>
  <si>
    <t xml:space="preserve">2042338478821</t>
  </si>
  <si>
    <t xml:space="preserve">JW-NB-AGT-M-0034</t>
  </si>
  <si>
    <t xml:space="preserve">291902573</t>
  </si>
  <si>
    <t xml:space="preserve">Браслет "Звездный путник" с метеоритом Алетай и Дзи</t>
  </si>
  <si>
    <t xml:space="preserve">2042909310109</t>
  </si>
  <si>
    <t xml:space="preserve">2042032128565</t>
  </si>
  <si>
    <t xml:space="preserve">2041168831875</t>
  </si>
  <si>
    <t xml:space="preserve">2041269672940</t>
  </si>
  <si>
    <t xml:space="preserve">2043231391927</t>
  </si>
  <si>
    <t xml:space="preserve">JW-NB-AGT-M-0059</t>
  </si>
  <si>
    <t xml:space="preserve">362532108</t>
  </si>
  <si>
    <t xml:space="preserve">Браслет "Хранитель" из обсидиана с бусиной Дзи 2 глаза</t>
  </si>
  <si>
    <t xml:space="preserve">2042287474646</t>
  </si>
  <si>
    <t xml:space="preserve">2042287474639</t>
  </si>
  <si>
    <t xml:space="preserve">2042326950452</t>
  </si>
  <si>
    <t xml:space="preserve">2042326618529</t>
  </si>
  <si>
    <t xml:space="preserve">2046601922097</t>
  </si>
  <si>
    <t xml:space="preserve">87876532</t>
  </si>
  <si>
    <t xml:space="preserve">561815738</t>
  </si>
  <si>
    <t xml:space="preserve">Браслет Непобедимое Солнце с метеоритом Алетай</t>
  </si>
  <si>
    <t xml:space="preserve">2042770600705</t>
  </si>
  <si>
    <t xml:space="preserve">2042868581886</t>
  </si>
  <si>
    <t xml:space="preserve">2042770600729</t>
  </si>
  <si>
    <t xml:space="preserve">2050767082885</t>
  </si>
  <si>
    <t xml:space="preserve">98776654323131</t>
  </si>
  <si>
    <t xml:space="preserve">988560742</t>
  </si>
  <si>
    <t xml:space="preserve">Браслет из Ливийского стекла высокого качества</t>
  </si>
  <si>
    <t xml:space="preserve">2050767082878</t>
  </si>
  <si>
    <t xml:space="preserve">A</t>
  </si>
  <si>
    <t xml:space="preserve">2050783995282</t>
  </si>
  <si>
    <t xml:space="preserve">B</t>
  </si>
  <si>
    <t xml:space="preserve">2041143469697</t>
  </si>
  <si>
    <t xml:space="preserve">JW-NB-AGT-M-0001</t>
  </si>
  <si>
    <t xml:space="preserve">258921133</t>
  </si>
  <si>
    <t xml:space="preserve">Браслет из натуральных камней</t>
  </si>
  <si>
    <t xml:space="preserve">2043922874913</t>
  </si>
  <si>
    <t xml:space="preserve">4567890</t>
  </si>
  <si>
    <t xml:space="preserve">412549464</t>
  </si>
  <si>
    <t xml:space="preserve">2044257369389</t>
  </si>
  <si>
    <t xml:space="preserve">09898763</t>
  </si>
  <si>
    <t xml:space="preserve">432459060</t>
  </si>
  <si>
    <t xml:space="preserve">2043736321702</t>
  </si>
  <si>
    <t xml:space="preserve">JW-NB-AGT-M-0129</t>
  </si>
  <si>
    <t xml:space="preserve">395899421</t>
  </si>
  <si>
    <t xml:space="preserve">2043686169744</t>
  </si>
  <si>
    <t xml:space="preserve">JW-NB-AGT-M-0124</t>
  </si>
  <si>
    <t xml:space="preserve">391310895</t>
  </si>
  <si>
    <t xml:space="preserve">2041452455749</t>
  </si>
  <si>
    <t xml:space="preserve">JW-NB-AGT-M-0021</t>
  </si>
  <si>
    <t xml:space="preserve">270195576</t>
  </si>
  <si>
    <t xml:space="preserve">2041385499513</t>
  </si>
  <si>
    <t xml:space="preserve">JW-NB-AGT-M-0017</t>
  </si>
  <si>
    <t xml:space="preserve">267890574</t>
  </si>
  <si>
    <t xml:space="preserve">2042328664845</t>
  </si>
  <si>
    <t xml:space="preserve">JW-NB-AGT-M-0046</t>
  </si>
  <si>
    <t xml:space="preserve">305733662</t>
  </si>
  <si>
    <t xml:space="preserve">2041452647168</t>
  </si>
  <si>
    <t xml:space="preserve">2046825613184</t>
  </si>
  <si>
    <t xml:space="preserve">786764320997</t>
  </si>
  <si>
    <t xml:space="preserve">575735167</t>
  </si>
  <si>
    <t xml:space="preserve">Браслет из натуральных камней с 2-ликой Рудракшей</t>
  </si>
  <si>
    <t xml:space="preserve">2046601862935</t>
  </si>
  <si>
    <t xml:space="preserve">63827657863</t>
  </si>
  <si>
    <t xml:space="preserve">561812320</t>
  </si>
  <si>
    <t xml:space="preserve">Браслет из натуральных камней с бусинами Дзи</t>
  </si>
  <si>
    <t xml:space="preserve">2047396493786</t>
  </si>
  <si>
    <t xml:space="preserve">983727685</t>
  </si>
  <si>
    <t xml:space="preserve">604455438</t>
  </si>
  <si>
    <t xml:space="preserve">Браслет из натуральных камней с бусиной ДЗИ</t>
  </si>
  <si>
    <t xml:space="preserve">2047160507299</t>
  </si>
  <si>
    <t xml:space="preserve">2042884880710</t>
  </si>
  <si>
    <t xml:space="preserve">JW-NB-AGT-M-0071</t>
  </si>
  <si>
    <t xml:space="preserve">334004727</t>
  </si>
  <si>
    <t xml:space="preserve">Браслет из натуральных камней с бусиной Дзи</t>
  </si>
  <si>
    <t xml:space="preserve">2047395929590</t>
  </si>
  <si>
    <t xml:space="preserve">903257985697</t>
  </si>
  <si>
    <t xml:space="preserve">628342861</t>
  </si>
  <si>
    <t xml:space="preserve">Браслет из натуральных камней с метеоритами</t>
  </si>
  <si>
    <t xml:space="preserve">2046830790368</t>
  </si>
  <si>
    <t xml:space="preserve">888765432</t>
  </si>
  <si>
    <t xml:space="preserve">575978057</t>
  </si>
  <si>
    <t xml:space="preserve">Браслет из натуральных камней с метеоритом</t>
  </si>
  <si>
    <t xml:space="preserve">2043614320797</t>
  </si>
  <si>
    <t xml:space="preserve">JW-NB-AGT-M-0115</t>
  </si>
  <si>
    <t xml:space="preserve">388241188</t>
  </si>
  <si>
    <t xml:space="preserve">2043562551892</t>
  </si>
  <si>
    <t xml:space="preserve">JW-NB-AGT-M-0106</t>
  </si>
  <si>
    <t xml:space="preserve">385908252</t>
  </si>
  <si>
    <t xml:space="preserve">2043534875148</t>
  </si>
  <si>
    <t xml:space="preserve">JW-NB-AGT-M-0105</t>
  </si>
  <si>
    <t xml:space="preserve">383521570</t>
  </si>
  <si>
    <t xml:space="preserve">2042567613079</t>
  </si>
  <si>
    <t xml:space="preserve">JW-NB-AGT-M-0055</t>
  </si>
  <si>
    <t xml:space="preserve">316205510</t>
  </si>
  <si>
    <t xml:space="preserve">2043562551908</t>
  </si>
  <si>
    <t xml:space="preserve">2047620319868</t>
  </si>
  <si>
    <t xml:space="preserve">6972308585</t>
  </si>
  <si>
    <t xml:space="preserve">672452104</t>
  </si>
  <si>
    <t xml:space="preserve">2042794970464</t>
  </si>
  <si>
    <t xml:space="preserve">JW-NB-AGT-M-0079</t>
  </si>
  <si>
    <t xml:space="preserve">329028331</t>
  </si>
  <si>
    <t xml:space="preserve">Браслет из натуральных камней с метеоритом Алетай</t>
  </si>
  <si>
    <t xml:space="preserve">2042686383907</t>
  </si>
  <si>
    <t xml:space="preserve">JW-NB-AGT-M-0076</t>
  </si>
  <si>
    <t xml:space="preserve">322355553</t>
  </si>
  <si>
    <t xml:space="preserve">2044616238349</t>
  </si>
  <si>
    <t xml:space="preserve">2044616238615</t>
  </si>
  <si>
    <t xml:space="preserve">21</t>
  </si>
  <si>
    <t xml:space="preserve">2046602216560</t>
  </si>
  <si>
    <t xml:space="preserve">89454365</t>
  </si>
  <si>
    <t xml:space="preserve">561830891</t>
  </si>
  <si>
    <t xml:space="preserve">Браслет из натуральных камней с метеоритом Сеймчан</t>
  </si>
  <si>
    <t xml:space="preserve">2043630968799</t>
  </si>
  <si>
    <t xml:space="preserve">JW-NB-AGT-M-0116</t>
  </si>
  <si>
    <t xml:space="preserve">389408691</t>
  </si>
  <si>
    <t xml:space="preserve">2042828070092</t>
  </si>
  <si>
    <t xml:space="preserve">JW-NB-AGT-M-0066</t>
  </si>
  <si>
    <t xml:space="preserve">331517609</t>
  </si>
  <si>
    <t xml:space="preserve">Браслет лабрадорит с метеоритом Алетай "Срединный Путь"</t>
  </si>
  <si>
    <t xml:space="preserve">2041363711019</t>
  </si>
  <si>
    <t xml:space="preserve">JW-NB-AGT-M-0010</t>
  </si>
  <si>
    <t xml:space="preserve">266904445</t>
  </si>
  <si>
    <t xml:space="preserve">Браслет с бусиной ДЗИ из Ливийского стекла</t>
  </si>
  <si>
    <t xml:space="preserve">2041378657647</t>
  </si>
  <si>
    <t xml:space="preserve">2046602038971</t>
  </si>
  <si>
    <t xml:space="preserve">8878787673645</t>
  </si>
  <si>
    <t xml:space="preserve">561820696</t>
  </si>
  <si>
    <t xml:space="preserve">Браслет с бусиной Дзи</t>
  </si>
  <si>
    <t xml:space="preserve">2044270246520</t>
  </si>
  <si>
    <t xml:space="preserve">09898775533</t>
  </si>
  <si>
    <t xml:space="preserve">433795545</t>
  </si>
  <si>
    <t xml:space="preserve">Браслет с метеоритом</t>
  </si>
  <si>
    <t xml:space="preserve">2041988460194</t>
  </si>
  <si>
    <t xml:space="preserve">JW-NB-AGT-M-0032</t>
  </si>
  <si>
    <t xml:space="preserve">289945106</t>
  </si>
  <si>
    <t xml:space="preserve">2043613352102</t>
  </si>
  <si>
    <t xml:space="preserve">JW-NB-AGT-M-0114</t>
  </si>
  <si>
    <t xml:space="preserve">388167738</t>
  </si>
  <si>
    <t xml:space="preserve">Браслет с метеоритом Муонионалуста</t>
  </si>
  <si>
    <t xml:space="preserve">2042602331869</t>
  </si>
  <si>
    <t xml:space="preserve">JW-NB-AGT-M-0070</t>
  </si>
  <si>
    <t xml:space="preserve">318131090</t>
  </si>
  <si>
    <t xml:space="preserve">Браслет с метеоритом Сеймчан</t>
  </si>
  <si>
    <t xml:space="preserve">2042602331951</t>
  </si>
  <si>
    <t xml:space="preserve">2043972138362</t>
  </si>
  <si>
    <t xml:space="preserve">34567890</t>
  </si>
  <si>
    <t xml:space="preserve">415524446</t>
  </si>
  <si>
    <t xml:space="preserve">Браслет с молдавитом</t>
  </si>
  <si>
    <t xml:space="preserve">2044270326963</t>
  </si>
  <si>
    <t xml:space="preserve">090866754</t>
  </si>
  <si>
    <t xml:space="preserve">433802528</t>
  </si>
  <si>
    <t xml:space="preserve">Браслет с натуральными камнями</t>
  </si>
  <si>
    <t xml:space="preserve">2044134883557</t>
  </si>
  <si>
    <t xml:space="preserve">45678905555678</t>
  </si>
  <si>
    <t xml:space="preserve">423610587</t>
  </si>
  <si>
    <t xml:space="preserve">Браслет силы с бусиной Дзи</t>
  </si>
  <si>
    <t xml:space="preserve">2046602075860</t>
  </si>
  <si>
    <t xml:space="preserve">8327956235736</t>
  </si>
  <si>
    <t xml:space="preserve">561823684</t>
  </si>
  <si>
    <t xml:space="preserve">Браслет силы со старой бусиной ДЗИ</t>
  </si>
  <si>
    <t xml:space="preserve">2042354181293</t>
  </si>
  <si>
    <t xml:space="preserve">2047932585296</t>
  </si>
  <si>
    <t xml:space="preserve">8976876564564352</t>
  </si>
  <si>
    <t xml:space="preserve">710552269</t>
  </si>
  <si>
    <t xml:space="preserve">Мужской браслет из натуральных камней</t>
  </si>
  <si>
    <t xml:space="preserve">2047852185835</t>
  </si>
  <si>
    <t xml:space="preserve">2047909797196</t>
  </si>
  <si>
    <t xml:space="preserve">787787787654</t>
  </si>
  <si>
    <t xml:space="preserve">708551888</t>
  </si>
  <si>
    <t xml:space="preserve">Мужской браслет натуральные камни, метеорит Алетай и Дзи</t>
  </si>
  <si>
    <t xml:space="preserve">2046868288998</t>
  </si>
  <si>
    <t xml:space="preserve">87657485835</t>
  </si>
  <si>
    <t xml:space="preserve">578795659</t>
  </si>
  <si>
    <t xml:space="preserve">Кольцо из метеорита Muonionalusta 21-й размер</t>
  </si>
  <si>
    <t xml:space="preserve">Кольца</t>
  </si>
  <si>
    <t xml:space="preserve">2044462374703</t>
  </si>
  <si>
    <t xml:space="preserve">8978785664</t>
  </si>
  <si>
    <t xml:space="preserve">445409409</t>
  </si>
  <si>
    <t xml:space="preserve">Кольцо мужское из метеорита Муонионалуста и титана, подарок</t>
  </si>
  <si>
    <t xml:space="preserve">2047648663486</t>
  </si>
  <si>
    <t xml:space="preserve">2047648657843</t>
  </si>
  <si>
    <t xml:space="preserve">2047648665916</t>
  </si>
  <si>
    <t xml:space="preserve">2047648675304</t>
  </si>
  <si>
    <t xml:space="preserve">2047648678350</t>
  </si>
  <si>
    <t xml:space="preserve">2047648679319</t>
  </si>
  <si>
    <t xml:space="preserve">2052898666804</t>
  </si>
  <si>
    <t xml:space="preserve">786855434232</t>
  </si>
  <si>
    <t xml:space="preserve">1219210498</t>
  </si>
  <si>
    <t xml:space="preserve">Браслет женский из натуральных камней</t>
  </si>
  <si>
    <t xml:space="preserve">2057086856166</t>
  </si>
  <si>
    <t xml:space="preserve">888645543123</t>
  </si>
  <si>
    <t xml:space="preserve">1631024060</t>
  </si>
  <si>
    <t xml:space="preserve">Браслет из Ливийского стекла</t>
  </si>
  <si>
    <t xml:space="preserve">2051342634895</t>
  </si>
  <si>
    <t xml:space="preserve">985449537222</t>
  </si>
  <si>
    <t xml:space="preserve">1041103120</t>
  </si>
  <si>
    <t xml:space="preserve">Браслет из индошинита с бусиной Дзи, натуральные камни</t>
  </si>
  <si>
    <t xml:space="preserve">2051345237857</t>
  </si>
  <si>
    <t xml:space="preserve">8687554534434</t>
  </si>
  <si>
    <t xml:space="preserve">1041907949</t>
  </si>
  <si>
    <t xml:space="preserve">Браслет с каменным метеоритом NWA и Дзи, натуральные камни</t>
  </si>
  <si>
    <t xml:space="preserve">2051509192510</t>
  </si>
  <si>
    <t xml:space="preserve">9998773636</t>
  </si>
  <si>
    <t xml:space="preserve">1068082857</t>
  </si>
  <si>
    <t xml:space="preserve">Браслет с ливийским стеклом и старой бусиной Дзи</t>
  </si>
  <si>
    <t xml:space="preserve">2048907065812</t>
  </si>
  <si>
    <t xml:space="preserve">9798766755445534</t>
  </si>
  <si>
    <t xml:space="preserve">817111827</t>
  </si>
  <si>
    <t xml:space="preserve">Дронино метеорит осколок 7,1 гр.</t>
  </si>
  <si>
    <t xml:space="preserve">2048907880569</t>
  </si>
  <si>
    <t xml:space="preserve">7678555644542421</t>
  </si>
  <si>
    <t xml:space="preserve">817187422</t>
  </si>
  <si>
    <t xml:space="preserve">Кампо Дель Сьело - метеорит 6,8 гр.</t>
  </si>
  <si>
    <t xml:space="preserve">2050943700145</t>
  </si>
  <si>
    <t xml:space="preserve">98877767665543</t>
  </si>
  <si>
    <t xml:space="preserve">1002804418</t>
  </si>
  <si>
    <t xml:space="preserve">Кампо Дель Сьело метеорит - коллекционный образец 7,3 гр.</t>
  </si>
  <si>
    <t xml:space="preserve">2047160402266</t>
  </si>
  <si>
    <t xml:space="preserve">89375298356</t>
  </si>
  <si>
    <t xml:space="preserve">604445060</t>
  </si>
  <si>
    <t xml:space="preserve">Коллекционная фигурка из метеорита Будда - 52,4 гр.</t>
  </si>
  <si>
    <t xml:space="preserve">2046803609222</t>
  </si>
  <si>
    <t xml:space="preserve">778674542</t>
  </si>
  <si>
    <t xml:space="preserve">574342203</t>
  </si>
  <si>
    <t xml:space="preserve">Коллекционный образец Campo del Cielo в прозрачном кубе</t>
  </si>
  <si>
    <t xml:space="preserve">2047834799845</t>
  </si>
  <si>
    <t xml:space="preserve">3334556778990</t>
  </si>
  <si>
    <t xml:space="preserve">699217021</t>
  </si>
  <si>
    <t xml:space="preserve">Коллекционный образец метеорит Campo del Cielo</t>
  </si>
  <si>
    <t xml:space="preserve">2047832589226</t>
  </si>
  <si>
    <t xml:space="preserve">4534564757667876</t>
  </si>
  <si>
    <t xml:space="preserve">698914829</t>
  </si>
  <si>
    <t xml:space="preserve">2047834505460</t>
  </si>
  <si>
    <t xml:space="preserve">8473569426888</t>
  </si>
  <si>
    <t xml:space="preserve">699172683</t>
  </si>
  <si>
    <t xml:space="preserve">2047834665300</t>
  </si>
  <si>
    <t xml:space="preserve">66663533427</t>
  </si>
  <si>
    <t xml:space="preserve">699196167</t>
  </si>
  <si>
    <t xml:space="preserve">2047834377449</t>
  </si>
  <si>
    <t xml:space="preserve">8937298586</t>
  </si>
  <si>
    <t xml:space="preserve">699156637</t>
  </si>
  <si>
    <t xml:space="preserve">Коллекционный образец метеорит Campo del Cielo 6,7 гр.</t>
  </si>
  <si>
    <t xml:space="preserve">2047834589996</t>
  </si>
  <si>
    <t xml:space="preserve">908908786865375</t>
  </si>
  <si>
    <t xml:space="preserve">699184297</t>
  </si>
  <si>
    <t xml:space="preserve">Коллекционный образец метеорит Campo del Cielo №4</t>
  </si>
  <si>
    <t xml:space="preserve">2047834755797</t>
  </si>
  <si>
    <t xml:space="preserve">88876212345678</t>
  </si>
  <si>
    <t xml:space="preserve">699209236</t>
  </si>
  <si>
    <t xml:space="preserve">Коллекционный образец метеорит campo del Cielo</t>
  </si>
  <si>
    <t xml:space="preserve">2047095090323</t>
  </si>
  <si>
    <t xml:space="preserve">8767865543</t>
  </si>
  <si>
    <t xml:space="preserve">597048927</t>
  </si>
  <si>
    <t xml:space="preserve">Коллекционный образец метеорит Дронино - 19,4 гр.</t>
  </si>
  <si>
    <t xml:space="preserve">2047095062290</t>
  </si>
  <si>
    <t xml:space="preserve">387527657846</t>
  </si>
  <si>
    <t xml:space="preserve">597042204</t>
  </si>
  <si>
    <t xml:space="preserve">Коллекционный образец метеорит Дронино - 29,7 гр.</t>
  </si>
  <si>
    <t xml:space="preserve">2046267534986</t>
  </si>
  <si>
    <t xml:space="preserve">3287432938653</t>
  </si>
  <si>
    <t xml:space="preserve">542418030</t>
  </si>
  <si>
    <t xml:space="preserve">Коллекционный образец метеорит Дронино №6</t>
  </si>
  <si>
    <t xml:space="preserve">2044506830097</t>
  </si>
  <si>
    <t xml:space="preserve">7776543322</t>
  </si>
  <si>
    <t xml:space="preserve">447793154</t>
  </si>
  <si>
    <t xml:space="preserve">Коллекционный образец метеорит Сихотэ-Алинь</t>
  </si>
  <si>
    <t xml:space="preserve">2044506814646</t>
  </si>
  <si>
    <t xml:space="preserve">99998754</t>
  </si>
  <si>
    <t xml:space="preserve">447792088</t>
  </si>
  <si>
    <t xml:space="preserve">2044504265693</t>
  </si>
  <si>
    <t xml:space="preserve">987786734</t>
  </si>
  <si>
    <t xml:space="preserve">447660878</t>
  </si>
  <si>
    <t xml:space="preserve">2046305863924</t>
  </si>
  <si>
    <t xml:space="preserve">976657534332</t>
  </si>
  <si>
    <t xml:space="preserve">545044371</t>
  </si>
  <si>
    <t xml:space="preserve">Коллекционный образец метеорит Царев</t>
  </si>
  <si>
    <t xml:space="preserve">2046286657024</t>
  </si>
  <si>
    <t xml:space="preserve">4485963864</t>
  </si>
  <si>
    <t xml:space="preserve">543834982</t>
  </si>
  <si>
    <t xml:space="preserve">2046267665178</t>
  </si>
  <si>
    <t xml:space="preserve">8767756552</t>
  </si>
  <si>
    <t xml:space="preserve">542426312</t>
  </si>
  <si>
    <t xml:space="preserve">2046720390876</t>
  </si>
  <si>
    <t xml:space="preserve">837259562</t>
  </si>
  <si>
    <t xml:space="preserve">568536973</t>
  </si>
  <si>
    <t xml:space="preserve">2050761847909</t>
  </si>
  <si>
    <t xml:space="preserve">9983472963937675</t>
  </si>
  <si>
    <t xml:space="preserve">988315257</t>
  </si>
  <si>
    <t xml:space="preserve">Кулон Лик Будды из метеорита Алетай, амулет оберег резной</t>
  </si>
  <si>
    <t xml:space="preserve">2048917560857</t>
  </si>
  <si>
    <t xml:space="preserve">3487564386799864</t>
  </si>
  <si>
    <t xml:space="preserve">818378370</t>
  </si>
  <si>
    <t xml:space="preserve">Кулон Манджушри из метеорита Алетай, амулет оберег резной</t>
  </si>
  <si>
    <t xml:space="preserve">2049386057992</t>
  </si>
  <si>
    <t xml:space="preserve">94792834376487512</t>
  </si>
  <si>
    <t xml:space="preserve">859550871</t>
  </si>
  <si>
    <t xml:space="preserve">Кулон Небесный тигр из метеорита Алетай, амулет оберег</t>
  </si>
  <si>
    <t xml:space="preserve">2052024009161</t>
  </si>
  <si>
    <t xml:space="preserve">947853654222</t>
  </si>
  <si>
    <t xml:space="preserve">1124717768</t>
  </si>
  <si>
    <t xml:space="preserve">2050866743267</t>
  </si>
  <si>
    <t xml:space="preserve">34832547792</t>
  </si>
  <si>
    <t xml:space="preserve">996711262</t>
  </si>
  <si>
    <t xml:space="preserve">Кулон-амулет из метеорита Алетай, мантра Ом, оберег</t>
  </si>
  <si>
    <t xml:space="preserve">2048907621353</t>
  </si>
  <si>
    <t xml:space="preserve">897976752231</t>
  </si>
  <si>
    <t xml:space="preserve">817158269</t>
  </si>
  <si>
    <t xml:space="preserve">Метеорит Дронино железный, образец 97,5 гр, оберег</t>
  </si>
  <si>
    <t xml:space="preserve">2048926789140</t>
  </si>
  <si>
    <t xml:space="preserve">387593625426359</t>
  </si>
  <si>
    <t xml:space="preserve">820036956</t>
  </si>
  <si>
    <t xml:space="preserve">Метеорит Кампо Дель Сьело, образец 23 гр.</t>
  </si>
  <si>
    <t xml:space="preserve">2048926885408</t>
  </si>
  <si>
    <t xml:space="preserve">98327594659211</t>
  </si>
  <si>
    <t xml:space="preserve">820045170</t>
  </si>
  <si>
    <t xml:space="preserve">Метеорит Кампо-дель-Сьело железный образец 13,4 гр, оберег</t>
  </si>
  <si>
    <t xml:space="preserve">2048927684536</t>
  </si>
  <si>
    <t xml:space="preserve">6465363423312</t>
  </si>
  <si>
    <t xml:space="preserve">820145017</t>
  </si>
  <si>
    <t xml:space="preserve">Метеорит Кампо-дель-Сьело железный образец 22,3 гр, оберег</t>
  </si>
  <si>
    <t xml:space="preserve">2048926572377</t>
  </si>
  <si>
    <t xml:space="preserve">94769469454626</t>
  </si>
  <si>
    <t xml:space="preserve">820016486</t>
  </si>
  <si>
    <t xml:space="preserve">Метеорит Кампо-дель-Сьело железный образец 23,2 гр, оберег</t>
  </si>
  <si>
    <t xml:space="preserve">2048908221040</t>
  </si>
  <si>
    <t xml:space="preserve">786856646543532</t>
  </si>
  <si>
    <t xml:space="preserve">817235298</t>
  </si>
  <si>
    <t xml:space="preserve">Метеорит Кампо-дель-Сьело железный, образец 23,2 гр, оберег</t>
  </si>
  <si>
    <t xml:space="preserve">2049066311604</t>
  </si>
  <si>
    <t xml:space="preserve">876634542323</t>
  </si>
  <si>
    <t xml:space="preserve">826767546</t>
  </si>
  <si>
    <t xml:space="preserve">Метеорит Сихотэ-Алинь 8,9 гр.</t>
  </si>
  <si>
    <t xml:space="preserve">2045909364332</t>
  </si>
  <si>
    <t xml:space="preserve">875674563622</t>
  </si>
  <si>
    <t xml:space="preserve">528126045</t>
  </si>
  <si>
    <t xml:space="preserve">Метеорит Сихотэ-Алинь железный, коллекционный образец</t>
  </si>
  <si>
    <t xml:space="preserve">2049065140052</t>
  </si>
  <si>
    <t xml:space="preserve">301984801481</t>
  </si>
  <si>
    <t xml:space="preserve">826616992</t>
  </si>
  <si>
    <t xml:space="preserve">Метеорит Сихотэ-Алинь железный, образец 31,5 гр, оберег</t>
  </si>
  <si>
    <t xml:space="preserve">2053611948047</t>
  </si>
  <si>
    <t xml:space="preserve">98724918349362</t>
  </si>
  <si>
    <t xml:space="preserve">1280392264</t>
  </si>
  <si>
    <t xml:space="preserve">Метеорит Сихотэ-Алинь коллекционный образец 11,5 гр, оберег</t>
  </si>
  <si>
    <t xml:space="preserve">2052155245032</t>
  </si>
  <si>
    <t xml:space="preserve">545454578</t>
  </si>
  <si>
    <t xml:space="preserve">1137280175</t>
  </si>
  <si>
    <t xml:space="preserve">Метеорит Сихотэ-Алинь коллекционный образец 12,3 гр, оберег</t>
  </si>
  <si>
    <t xml:space="preserve">2056116010066</t>
  </si>
  <si>
    <t xml:space="preserve">87786743534</t>
  </si>
  <si>
    <t xml:space="preserve">1531891735</t>
  </si>
  <si>
    <t xml:space="preserve">Метеорит Сихотэ-Алинь коллекционный образец 4,3 гр, оберег</t>
  </si>
  <si>
    <t xml:space="preserve">2056117304256</t>
  </si>
  <si>
    <t xml:space="preserve">87576556434</t>
  </si>
  <si>
    <t xml:space="preserve">1532076295</t>
  </si>
  <si>
    <t xml:space="preserve">Метеорит Сихотэ-Алинь коллекционный образец 4,6 гр, оберег</t>
  </si>
  <si>
    <t xml:space="preserve">2051358508104</t>
  </si>
  <si>
    <t xml:space="preserve">8989333635</t>
  </si>
  <si>
    <t xml:space="preserve">1045666207</t>
  </si>
  <si>
    <t xml:space="preserve">Метеорит Сихотэ-Алинь коллекционный образец 4,7 гр, оберег</t>
  </si>
  <si>
    <t xml:space="preserve">2051358618025</t>
  </si>
  <si>
    <t xml:space="preserve">8989888655</t>
  </si>
  <si>
    <t xml:space="preserve">1045694779</t>
  </si>
  <si>
    <t xml:space="preserve">Метеорит Сихотэ-Алинь коллекционный образец 5,3 гр, оберег</t>
  </si>
  <si>
    <t xml:space="preserve">2056115235385</t>
  </si>
  <si>
    <t xml:space="preserve">89778565642</t>
  </si>
  <si>
    <t xml:space="preserve">1531826787</t>
  </si>
  <si>
    <t xml:space="preserve">2056115765738</t>
  </si>
  <si>
    <t xml:space="preserve">897865754631</t>
  </si>
  <si>
    <t xml:space="preserve">1531861502</t>
  </si>
  <si>
    <t xml:space="preserve">2051358739317</t>
  </si>
  <si>
    <t xml:space="preserve">999877665</t>
  </si>
  <si>
    <t xml:space="preserve">1045721249</t>
  </si>
  <si>
    <t xml:space="preserve">Метеорит Сихотэ-Алинь коллекционный образец 5,7 гр, оберег</t>
  </si>
  <si>
    <t xml:space="preserve">2056115379379</t>
  </si>
  <si>
    <t xml:space="preserve">98867656554</t>
  </si>
  <si>
    <t xml:space="preserve">1531837797</t>
  </si>
  <si>
    <t xml:space="preserve">2053611912260</t>
  </si>
  <si>
    <t xml:space="preserve">987965646432</t>
  </si>
  <si>
    <t xml:space="preserve">1280389631</t>
  </si>
  <si>
    <t xml:space="preserve">Метеорит Сихотэ-Алинь коллекционный образец 7,6 гр, оберег</t>
  </si>
  <si>
    <t xml:space="preserve">2045909417847</t>
  </si>
  <si>
    <t xml:space="preserve">77776543</t>
  </si>
  <si>
    <t xml:space="preserve">528130767</t>
  </si>
  <si>
    <t xml:space="preserve">Метеорит Сихотэ-Алинь №3</t>
  </si>
  <si>
    <t xml:space="preserve">2046629236558</t>
  </si>
  <si>
    <t xml:space="preserve">94379874</t>
  </si>
  <si>
    <t xml:space="preserve">563068048</t>
  </si>
  <si>
    <t xml:space="preserve">Метеорит Царев индивидуальный экземпляр - 53,3 гр.</t>
  </si>
  <si>
    <t xml:space="preserve">2046702038291</t>
  </si>
  <si>
    <t xml:space="preserve">859265337465</t>
  </si>
  <si>
    <t xml:space="preserve">567297120</t>
  </si>
  <si>
    <t xml:space="preserve">Метеорит Царев коллекционный образец</t>
  </si>
  <si>
    <t xml:space="preserve">2049052966054</t>
  </si>
  <si>
    <t xml:space="preserve">82759648631343</t>
  </si>
  <si>
    <t xml:space="preserve">825166552</t>
  </si>
  <si>
    <t xml:space="preserve">Метеорит Царев, 15 гр.</t>
  </si>
  <si>
    <t xml:space="preserve">2048696319950</t>
  </si>
  <si>
    <t xml:space="preserve">89327598643</t>
  </si>
  <si>
    <t xml:space="preserve">795164510</t>
  </si>
  <si>
    <t xml:space="preserve">Метеорит Царев, каменный метеорит 9,7 гр.</t>
  </si>
  <si>
    <t xml:space="preserve">2048696105690</t>
  </si>
  <si>
    <t xml:space="preserve">8365796237657</t>
  </si>
  <si>
    <t xml:space="preserve">795145343</t>
  </si>
  <si>
    <t xml:space="preserve">Метеорит Царёв каменный коллекционный образец, подарок</t>
  </si>
  <si>
    <t xml:space="preserve">2052025128915</t>
  </si>
  <si>
    <t xml:space="preserve">822112121987</t>
  </si>
  <si>
    <t xml:space="preserve">1124736072</t>
  </si>
  <si>
    <t xml:space="preserve">Метеорит Царёв каменный образец 18 гр, оберег подарок</t>
  </si>
  <si>
    <t xml:space="preserve">2049052297363</t>
  </si>
  <si>
    <t xml:space="preserve">868756534331</t>
  </si>
  <si>
    <t xml:space="preserve">825101724</t>
  </si>
  <si>
    <t xml:space="preserve">Метеорит Царёв каменный, коллекционный образец 21,9 гр</t>
  </si>
  <si>
    <t xml:space="preserve">2048907533977</t>
  </si>
  <si>
    <t xml:space="preserve">9887896545323</t>
  </si>
  <si>
    <t xml:space="preserve">817146071</t>
  </si>
  <si>
    <t xml:space="preserve">Метеорит железный Дронино 24 гр.</t>
  </si>
  <si>
    <t xml:space="preserve">2048926686692</t>
  </si>
  <si>
    <t xml:space="preserve">9057043878</t>
  </si>
  <si>
    <t xml:space="preserve">820027257</t>
  </si>
  <si>
    <t xml:space="preserve">Метеорит осколок Кампо Дель Сьело - 7,5 гр.</t>
  </si>
  <si>
    <t xml:space="preserve">2053682302502</t>
  </si>
  <si>
    <t xml:space="preserve">327589567463</t>
  </si>
  <si>
    <t xml:space="preserve">1284424741</t>
  </si>
  <si>
    <t xml:space="preserve">Нательный крест из метеорита</t>
  </si>
  <si>
    <t xml:space="preserve">2047620400276</t>
  </si>
  <si>
    <t xml:space="preserve">98988877634</t>
  </si>
  <si>
    <t xml:space="preserve">672460430</t>
  </si>
  <si>
    <t xml:space="preserve">Подвеска из метеорита Campo del Cielo</t>
  </si>
  <si>
    <t xml:space="preserve">2046353485208</t>
  </si>
  <si>
    <t xml:space="preserve">876543234567</t>
  </si>
  <si>
    <t xml:space="preserve">547977238</t>
  </si>
  <si>
    <t xml:space="preserve">2050926531506</t>
  </si>
  <si>
    <t xml:space="preserve">78687574342</t>
  </si>
  <si>
    <t xml:space="preserve">1001473240</t>
  </si>
  <si>
    <t xml:space="preserve">Подвеска из метеорита Campo del Cielo 8 гр.</t>
  </si>
  <si>
    <t xml:space="preserve">2052110409738</t>
  </si>
  <si>
    <t xml:space="preserve">6363525442</t>
  </si>
  <si>
    <t xml:space="preserve">1133027538</t>
  </si>
  <si>
    <t xml:space="preserve">Подвеска из метеорита Кампо-дель-Сьело 8 гр, амулет оберег</t>
  </si>
  <si>
    <t xml:space="preserve">2047840396458</t>
  </si>
  <si>
    <t xml:space="preserve">535353567849040</t>
  </si>
  <si>
    <t xml:space="preserve">700375269</t>
  </si>
  <si>
    <t xml:space="preserve">2047767382039</t>
  </si>
  <si>
    <t xml:space="preserve">7777776543212</t>
  </si>
  <si>
    <t xml:space="preserve">691043622</t>
  </si>
  <si>
    <t xml:space="preserve">2048101143736</t>
  </si>
  <si>
    <t xml:space="preserve">38279546586365</t>
  </si>
  <si>
    <t xml:space="preserve">731562548</t>
  </si>
  <si>
    <t xml:space="preserve">2048847438523</t>
  </si>
  <si>
    <t xml:space="preserve">83285636526</t>
  </si>
  <si>
    <t xml:space="preserve">811302672</t>
  </si>
  <si>
    <t xml:space="preserve">Подвеска мелонг из метеорита Муонионалуста 34,2 гр.</t>
  </si>
  <si>
    <t xml:space="preserve">2046946850628</t>
  </si>
  <si>
    <t xml:space="preserve">8767655643432</t>
  </si>
  <si>
    <t xml:space="preserve">583796395</t>
  </si>
  <si>
    <t xml:space="preserve">Подвеска с метеоритом Campo del Cielo</t>
  </si>
  <si>
    <t xml:space="preserve">2046720880773</t>
  </si>
  <si>
    <t xml:space="preserve">873256873546</t>
  </si>
  <si>
    <t xml:space="preserve">568570243</t>
  </si>
  <si>
    <t xml:space="preserve">2046946765526</t>
  </si>
  <si>
    <t xml:space="preserve">345467689</t>
  </si>
  <si>
    <t xml:space="preserve">583789984</t>
  </si>
  <si>
    <t xml:space="preserve">2046947404448</t>
  </si>
  <si>
    <t xml:space="preserve">932875946</t>
  </si>
  <si>
    <t xml:space="preserve">583836845</t>
  </si>
  <si>
    <t xml:space="preserve">2046251609560</t>
  </si>
  <si>
    <t xml:space="preserve">9337465738</t>
  </si>
  <si>
    <t xml:space="preserve">541382735</t>
  </si>
  <si>
    <t xml:space="preserve">Подвеска с метеоритом Кампо Дель Сьело</t>
  </si>
  <si>
    <t xml:space="preserve">2046251831442</t>
  </si>
  <si>
    <t xml:space="preserve">983792356837</t>
  </si>
  <si>
    <t xml:space="preserve">541400165</t>
  </si>
  <si>
    <t xml:space="preserve">Подвеска с метеоритом Кампо дель Сьело</t>
  </si>
  <si>
    <t xml:space="preserve">2046721386298</t>
  </si>
  <si>
    <t xml:space="preserve">4988665756738</t>
  </si>
  <si>
    <t xml:space="preserve">568612904</t>
  </si>
  <si>
    <t xml:space="preserve">2050767010437</t>
  </si>
  <si>
    <t xml:space="preserve">897766452334</t>
  </si>
  <si>
    <t xml:space="preserve">988553691</t>
  </si>
  <si>
    <t xml:space="preserve">Резная фигурка из ливийского стекла</t>
  </si>
  <si>
    <t xml:space="preserve">2047835745018</t>
  </si>
  <si>
    <t xml:space="preserve">8347556786673</t>
  </si>
  <si>
    <t xml:space="preserve">699377047</t>
  </si>
  <si>
    <t xml:space="preserve">Тибетская бусина Дзи 20 глаз</t>
  </si>
  <si>
    <t xml:space="preserve">2050769384819</t>
  </si>
  <si>
    <t xml:space="preserve">932453483757</t>
  </si>
  <si>
    <t xml:space="preserve">988823746</t>
  </si>
  <si>
    <t xml:space="preserve">Фигурка Пи Яо из ливийского стекла, амулет изобилия, оберег</t>
  </si>
  <si>
    <t xml:space="preserve">2049052196123</t>
  </si>
  <si>
    <t xml:space="preserve">8759465974676</t>
  </si>
  <si>
    <t xml:space="preserve">825089161</t>
  </si>
  <si>
    <t xml:space="preserve">Царев метеорит - экземпляр 16 гр.</t>
  </si>
  <si>
    <t xml:space="preserve">2049053142112</t>
  </si>
  <si>
    <t xml:space="preserve">847598374643526</t>
  </si>
  <si>
    <t xml:space="preserve">825183960</t>
  </si>
  <si>
    <t xml:space="preserve">Царев метеорит каменный -14,8 гр.</t>
  </si>
  <si>
    <t xml:space="preserve">2047835027190</t>
  </si>
  <si>
    <t xml:space="preserve">903280357946</t>
  </si>
  <si>
    <t xml:space="preserve">699284989</t>
  </si>
  <si>
    <t xml:space="preserve">Бусина Дзи на тибетской тханке</t>
  </si>
  <si>
    <t xml:space="preserve">2049459905182</t>
  </si>
  <si>
    <t xml:space="preserve">382467387253</t>
  </si>
  <si>
    <t xml:space="preserve">866600178</t>
  </si>
  <si>
    <t xml:space="preserve">Крест мужской с метеоритом Муонионалуста, подвеска оберег</t>
  </si>
  <si>
    <t xml:space="preserve">2047718076116</t>
  </si>
  <si>
    <t xml:space="preserve">8887765432</t>
  </si>
  <si>
    <t xml:space="preserve">685257465</t>
  </si>
  <si>
    <t xml:space="preserve">Кулон Би-диск из метеорита Алетай</t>
  </si>
  <si>
    <t xml:space="preserve">2052843824204</t>
  </si>
  <si>
    <t xml:space="preserve">65653542342</t>
  </si>
  <si>
    <t xml:space="preserve">1215042811</t>
  </si>
  <si>
    <t xml:space="preserve">Кулон Пи Яо из метеорита Муонионалуста</t>
  </si>
  <si>
    <t xml:space="preserve">2047669355278</t>
  </si>
  <si>
    <t xml:space="preserve">8797686858325</t>
  </si>
  <si>
    <t xml:space="preserve">678802293</t>
  </si>
  <si>
    <t xml:space="preserve">Кулон женский Тибетский щит из метеорита Алетай, оберег</t>
  </si>
  <si>
    <t xml:space="preserve">2049386746452</t>
  </si>
  <si>
    <t xml:space="preserve">938787419862</t>
  </si>
  <si>
    <t xml:space="preserve">859585573</t>
  </si>
  <si>
    <t xml:space="preserve">Кулон из метеорита Алетай -45,7 гр.</t>
  </si>
  <si>
    <t xml:space="preserve">2048696587823</t>
  </si>
  <si>
    <t xml:space="preserve">989898384276</t>
  </si>
  <si>
    <t xml:space="preserve">795184511</t>
  </si>
  <si>
    <t xml:space="preserve">Метеорит Campo del Cielo - 6,3 гр.</t>
  </si>
  <si>
    <t xml:space="preserve">2048696682726</t>
  </si>
  <si>
    <t xml:space="preserve">87867656534</t>
  </si>
  <si>
    <t xml:space="preserve">795190493</t>
  </si>
  <si>
    <t xml:space="preserve">Метеорит Campo del Cielo, 9,1 гр.</t>
  </si>
  <si>
    <t xml:space="preserve">2053726713943</t>
  </si>
  <si>
    <t xml:space="preserve">372986536523</t>
  </si>
  <si>
    <t xml:space="preserve">1287091233</t>
  </si>
  <si>
    <t xml:space="preserve">Подвеска "Космическая удача" с метеоритом Муонионалуста</t>
  </si>
  <si>
    <t xml:space="preserve">2044276494512</t>
  </si>
  <si>
    <t xml:space="preserve">9458398674</t>
  </si>
  <si>
    <t xml:space="preserve">434077004</t>
  </si>
  <si>
    <t xml:space="preserve">Подвеска "Сердце" двусторонняя</t>
  </si>
  <si>
    <t xml:space="preserve">2048334065997</t>
  </si>
  <si>
    <t xml:space="preserve">786875765635432</t>
  </si>
  <si>
    <t xml:space="preserve">756525446</t>
  </si>
  <si>
    <t xml:space="preserve">Подвеска "Тайцзи Инь Ян" с метеоритом Алетай</t>
  </si>
  <si>
    <t xml:space="preserve">2044607259353</t>
  </si>
  <si>
    <t xml:space="preserve">985043876</t>
  </si>
  <si>
    <t xml:space="preserve">452740509</t>
  </si>
  <si>
    <t xml:space="preserve">Подвеска Бусина ДЗИ из натурального агата</t>
  </si>
  <si>
    <t xml:space="preserve">2044276758768</t>
  </si>
  <si>
    <t xml:space="preserve">39759465</t>
  </si>
  <si>
    <t xml:space="preserve">434100575</t>
  </si>
  <si>
    <t xml:space="preserve">Подвеска ДЗИ из метеорита</t>
  </si>
  <si>
    <t xml:space="preserve">2052842781478</t>
  </si>
  <si>
    <t xml:space="preserve">8778576463323</t>
  </si>
  <si>
    <t xml:space="preserve">1214969106</t>
  </si>
  <si>
    <t xml:space="preserve">Подвеска Меркаба с метеоритом Муонионалуста</t>
  </si>
  <si>
    <t xml:space="preserve">2047648560563</t>
  </si>
  <si>
    <t xml:space="preserve">39865823476587365</t>
  </si>
  <si>
    <t xml:space="preserve">676688948</t>
  </si>
  <si>
    <t xml:space="preserve">Подвеска Непобедимое солнце с метеоритом</t>
  </si>
  <si>
    <t xml:space="preserve">2047426280997</t>
  </si>
  <si>
    <t xml:space="preserve">75938646586</t>
  </si>
  <si>
    <t xml:space="preserve">635576126</t>
  </si>
  <si>
    <t xml:space="preserve">Подвеска Шестиконечная звезда с метеоритом</t>
  </si>
  <si>
    <t xml:space="preserve">2042474974508</t>
  </si>
  <si>
    <t xml:space="preserve">JW-NB-AGT-M-0053</t>
  </si>
  <si>
    <t xml:space="preserve">311722013</t>
  </si>
  <si>
    <t xml:space="preserve">Подвеска бусина ДЗИ 15 глаз</t>
  </si>
  <si>
    <t xml:space="preserve">2053725583103</t>
  </si>
  <si>
    <t xml:space="preserve">8797686554332</t>
  </si>
  <si>
    <t xml:space="preserve">1287019038</t>
  </si>
  <si>
    <t xml:space="preserve">2043603985655</t>
  </si>
  <si>
    <t xml:space="preserve">JW-NB-AGT-M-0112</t>
  </si>
  <si>
    <t xml:space="preserve">387711805</t>
  </si>
  <si>
    <t xml:space="preserve">2050943817188</t>
  </si>
  <si>
    <t xml:space="preserve">6567454343</t>
  </si>
  <si>
    <t xml:space="preserve">1002814727</t>
  </si>
  <si>
    <t xml:space="preserve">Подвеска из метеорит Кампо дель Сьело</t>
  </si>
  <si>
    <t xml:space="preserve">2045516140701</t>
  </si>
  <si>
    <t xml:space="preserve">436457678</t>
  </si>
  <si>
    <t xml:space="preserve">505162123</t>
  </si>
  <si>
    <t xml:space="preserve">Подвеска из метеорита</t>
  </si>
  <si>
    <t xml:space="preserve">2049426649002</t>
  </si>
  <si>
    <t xml:space="preserve">8397539865396</t>
  </si>
  <si>
    <t xml:space="preserve">863699168</t>
  </si>
  <si>
    <t xml:space="preserve">Подвеска из метеорита Campo Del Cielo 6,4 гр.</t>
  </si>
  <si>
    <t xml:space="preserve">2044586023563</t>
  </si>
  <si>
    <t xml:space="preserve">66790303</t>
  </si>
  <si>
    <t xml:space="preserve">451738841</t>
  </si>
  <si>
    <t xml:space="preserve">2044586845004</t>
  </si>
  <si>
    <t xml:space="preserve">908589256</t>
  </si>
  <si>
    <t xml:space="preserve">451740430</t>
  </si>
  <si>
    <t xml:space="preserve">2047929680157</t>
  </si>
  <si>
    <t xml:space="preserve">33333787564</t>
  </si>
  <si>
    <t xml:space="preserve">710279007</t>
  </si>
  <si>
    <t xml:space="preserve">2047929431063</t>
  </si>
  <si>
    <t xml:space="preserve">8787778778654</t>
  </si>
  <si>
    <t xml:space="preserve">710259288</t>
  </si>
  <si>
    <t xml:space="preserve">2045516021642</t>
  </si>
  <si>
    <t xml:space="preserve">346767879</t>
  </si>
  <si>
    <t xml:space="preserve">505155691</t>
  </si>
  <si>
    <t xml:space="preserve">2046353568161</t>
  </si>
  <si>
    <t xml:space="preserve">545464389</t>
  </si>
  <si>
    <t xml:space="preserve">547982686</t>
  </si>
  <si>
    <t xml:space="preserve">2047929803976</t>
  </si>
  <si>
    <t xml:space="preserve">65656565789</t>
  </si>
  <si>
    <t xml:space="preserve">710291050</t>
  </si>
  <si>
    <t xml:space="preserve">2046353955268</t>
  </si>
  <si>
    <t xml:space="preserve">949487674839</t>
  </si>
  <si>
    <t xml:space="preserve">548011281</t>
  </si>
  <si>
    <t xml:space="preserve">2047929164541</t>
  </si>
  <si>
    <t xml:space="preserve">77776665432</t>
  </si>
  <si>
    <t xml:space="preserve">710234014</t>
  </si>
  <si>
    <t xml:space="preserve">2045516112777</t>
  </si>
  <si>
    <t xml:space="preserve">866556342</t>
  </si>
  <si>
    <t xml:space="preserve">505159603</t>
  </si>
  <si>
    <t xml:space="preserve">2048696713291</t>
  </si>
  <si>
    <t xml:space="preserve">3428758346</t>
  </si>
  <si>
    <t xml:space="preserve">795195057</t>
  </si>
  <si>
    <t xml:space="preserve">Подвеска из метеорита Campo del Cielo 8,6 гр.</t>
  </si>
  <si>
    <t xml:space="preserve">2043682486746</t>
  </si>
  <si>
    <t xml:space="preserve">JW-NB-AGT-M-0125</t>
  </si>
  <si>
    <t xml:space="preserve">391256768</t>
  </si>
  <si>
    <t xml:space="preserve">Подвеска из метеорита Campo del Сielo</t>
  </si>
  <si>
    <t xml:space="preserve">2043665788867</t>
  </si>
  <si>
    <t xml:space="preserve">JW-NB-AGT-M-0117</t>
  </si>
  <si>
    <t xml:space="preserve">390775378</t>
  </si>
  <si>
    <t xml:space="preserve">2047648361764</t>
  </si>
  <si>
    <t xml:space="preserve">9887876785732</t>
  </si>
  <si>
    <t xml:space="preserve">676669459</t>
  </si>
  <si>
    <t xml:space="preserve">Подвеска из метеорита Алетай</t>
  </si>
  <si>
    <t xml:space="preserve">2047929572643</t>
  </si>
  <si>
    <t xml:space="preserve">99998887655</t>
  </si>
  <si>
    <t xml:space="preserve">710270178</t>
  </si>
  <si>
    <t xml:space="preserve">Подвеска из метеорита Кампо Дель Сьело</t>
  </si>
  <si>
    <t xml:space="preserve">2047929335064</t>
  </si>
  <si>
    <t xml:space="preserve">9999876432</t>
  </si>
  <si>
    <t xml:space="preserve">710251303</t>
  </si>
  <si>
    <t xml:space="preserve">2049426516991</t>
  </si>
  <si>
    <t xml:space="preserve">5782985926626</t>
  </si>
  <si>
    <t xml:space="preserve">863685769</t>
  </si>
  <si>
    <t xml:space="preserve">Подвеска из метеорита Кампо Дель Сьело 7,6 гр.</t>
  </si>
  <si>
    <t xml:space="preserve">2043922658926</t>
  </si>
  <si>
    <t xml:space="preserve">JW-NB-AGT-M-0133</t>
  </si>
  <si>
    <t xml:space="preserve">412522006</t>
  </si>
  <si>
    <t xml:space="preserve">Подвеска из метеорита Кампо дель Сьело</t>
  </si>
  <si>
    <t xml:space="preserve">2042799809691</t>
  </si>
  <si>
    <t xml:space="preserve">JW-NB-AGT-M-0078</t>
  </si>
  <si>
    <t xml:space="preserve">329457590</t>
  </si>
  <si>
    <t xml:space="preserve">2043468245710</t>
  </si>
  <si>
    <t xml:space="preserve">JW-NB-AGT-M-0102</t>
  </si>
  <si>
    <t xml:space="preserve">379033530</t>
  </si>
  <si>
    <t xml:space="preserve">2043682261534</t>
  </si>
  <si>
    <t xml:space="preserve">JW-NB-AGT-M-0128</t>
  </si>
  <si>
    <t xml:space="preserve">391234681</t>
  </si>
  <si>
    <t xml:space="preserve">2043666090600</t>
  </si>
  <si>
    <t xml:space="preserve">JW-NB-AGT-M-0119</t>
  </si>
  <si>
    <t xml:space="preserve">390788462</t>
  </si>
  <si>
    <t xml:space="preserve">2043459425534</t>
  </si>
  <si>
    <t xml:space="preserve">JW-NB-AGT-M-0096</t>
  </si>
  <si>
    <t xml:space="preserve">378297543</t>
  </si>
  <si>
    <t xml:space="preserve">2044276698316</t>
  </si>
  <si>
    <t xml:space="preserve">374293578623</t>
  </si>
  <si>
    <t xml:space="preserve">434097996</t>
  </si>
  <si>
    <t xml:space="preserve">2043467743811</t>
  </si>
  <si>
    <t xml:space="preserve">JW-NB-AGT-M-0100</t>
  </si>
  <si>
    <t xml:space="preserve">378980050</t>
  </si>
  <si>
    <t xml:space="preserve">Подвеска из метеорита Серичо</t>
  </si>
  <si>
    <t xml:space="preserve">2044477611336</t>
  </si>
  <si>
    <t xml:space="preserve">832793465</t>
  </si>
  <si>
    <t xml:space="preserve">446638621</t>
  </si>
  <si>
    <t xml:space="preserve">Подвеска из метеорита Сихотэ-Алинь</t>
  </si>
  <si>
    <t xml:space="preserve">2047676912327</t>
  </si>
  <si>
    <t xml:space="preserve">932895946</t>
  </si>
  <si>
    <t xml:space="preserve">679811425</t>
  </si>
  <si>
    <t xml:space="preserve">2046251037936</t>
  </si>
  <si>
    <t xml:space="preserve">9999887654</t>
  </si>
  <si>
    <t xml:space="preserve">541346062</t>
  </si>
  <si>
    <t xml:space="preserve">2047946678113</t>
  </si>
  <si>
    <t xml:space="preserve">64646467892</t>
  </si>
  <si>
    <t xml:space="preserve">711978621</t>
  </si>
  <si>
    <t xml:space="preserve">2046250570625</t>
  </si>
  <si>
    <t xml:space="preserve">75757566455434</t>
  </si>
  <si>
    <t xml:space="preserve">541309480</t>
  </si>
  <si>
    <t xml:space="preserve">2048101111810</t>
  </si>
  <si>
    <t xml:space="preserve">8787877665454433</t>
  </si>
  <si>
    <t xml:space="preserve">731559604</t>
  </si>
  <si>
    <t xml:space="preserve">2044444093592</t>
  </si>
  <si>
    <t xml:space="preserve">74785436578</t>
  </si>
  <si>
    <t xml:space="preserve">444107775</t>
  </si>
  <si>
    <t xml:space="preserve">2046250290028</t>
  </si>
  <si>
    <t xml:space="preserve">2323232576789</t>
  </si>
  <si>
    <t xml:space="preserve">541292582</t>
  </si>
  <si>
    <t xml:space="preserve">2047677049404</t>
  </si>
  <si>
    <t xml:space="preserve">94574935869</t>
  </si>
  <si>
    <t xml:space="preserve">679816837</t>
  </si>
  <si>
    <t xml:space="preserve">Подвеска из метеорита Сихотэ-Алинь №1</t>
  </si>
  <si>
    <t xml:space="preserve">2047718159918</t>
  </si>
  <si>
    <t xml:space="preserve">88887765432</t>
  </si>
  <si>
    <t xml:space="preserve">685264731</t>
  </si>
  <si>
    <t xml:space="preserve">Подвеска из метеорита Сихотэ-Алинь №2</t>
  </si>
  <si>
    <t xml:space="preserve">2046802232254</t>
  </si>
  <si>
    <t xml:space="preserve">765636277654</t>
  </si>
  <si>
    <t xml:space="preserve">574242346</t>
  </si>
  <si>
    <t xml:space="preserve">Подвеска из хотаньского нефрита Дзи 9 глаз</t>
  </si>
  <si>
    <t xml:space="preserve">2041942659862</t>
  </si>
  <si>
    <t xml:space="preserve">JW-NB-AGT-M-0030</t>
  </si>
  <si>
    <t xml:space="preserve">288115269</t>
  </si>
  <si>
    <t xml:space="preserve">2044825618147</t>
  </si>
  <si>
    <t xml:space="preserve">9887766564</t>
  </si>
  <si>
    <t xml:space="preserve">465707809</t>
  </si>
  <si>
    <t xml:space="preserve">2046353649013</t>
  </si>
  <si>
    <t xml:space="preserve">77373736574839</t>
  </si>
  <si>
    <t xml:space="preserve">547989081</t>
  </si>
  <si>
    <t xml:space="preserve">2046353810451</t>
  </si>
  <si>
    <t xml:space="preserve">83845456739</t>
  </si>
  <si>
    <t xml:space="preserve">548003149</t>
  </si>
  <si>
    <t xml:space="preserve">2046251708362</t>
  </si>
  <si>
    <t xml:space="preserve">039270653</t>
  </si>
  <si>
    <t xml:space="preserve">541393087</t>
  </si>
  <si>
    <t xml:space="preserve">2044065102499</t>
  </si>
  <si>
    <t xml:space="preserve">34578457896</t>
  </si>
  <si>
    <t xml:space="preserve">420796977</t>
  </si>
  <si>
    <t xml:space="preserve">2048696492554</t>
  </si>
  <si>
    <t xml:space="preserve">9889766735462375</t>
  </si>
  <si>
    <t xml:space="preserve">795177138</t>
  </si>
  <si>
    <t xml:space="preserve">Подвеска с метеоритом Campo 7,3 гр.</t>
  </si>
  <si>
    <t xml:space="preserve">2044825575426</t>
  </si>
  <si>
    <t xml:space="preserve">3902057</t>
  </si>
  <si>
    <t xml:space="preserve">465705373</t>
  </si>
  <si>
    <t xml:space="preserve">2045523118861</t>
  </si>
  <si>
    <t xml:space="preserve">888887654</t>
  </si>
  <si>
    <t xml:space="preserve">505500840</t>
  </si>
  <si>
    <t xml:space="preserve">2046354047993</t>
  </si>
  <si>
    <t xml:space="preserve">8876632123456</t>
  </si>
  <si>
    <t xml:space="preserve">548017962</t>
  </si>
  <si>
    <t xml:space="preserve">2046721191656</t>
  </si>
  <si>
    <t xml:space="preserve">8327539865</t>
  </si>
  <si>
    <t xml:space="preserve">568598945</t>
  </si>
  <si>
    <t xml:space="preserve">2046966626302</t>
  </si>
  <si>
    <t xml:space="preserve">907496552</t>
  </si>
  <si>
    <t xml:space="preserve">584969395</t>
  </si>
  <si>
    <t xml:space="preserve">2044230827721</t>
  </si>
  <si>
    <t xml:space="preserve">545909054334</t>
  </si>
  <si>
    <t xml:space="preserve">430736233</t>
  </si>
  <si>
    <t xml:space="preserve">2046947341361</t>
  </si>
  <si>
    <t xml:space="preserve">9875983654</t>
  </si>
  <si>
    <t xml:space="preserve">583831016</t>
  </si>
  <si>
    <t xml:space="preserve">2045524950606</t>
  </si>
  <si>
    <t xml:space="preserve">5475466545734</t>
  </si>
  <si>
    <t xml:space="preserve">505524639</t>
  </si>
  <si>
    <t xml:space="preserve">2046721097149</t>
  </si>
  <si>
    <t xml:space="preserve">378759325637864</t>
  </si>
  <si>
    <t xml:space="preserve">568589946</t>
  </si>
  <si>
    <t xml:space="preserve">2045516425532</t>
  </si>
  <si>
    <t xml:space="preserve">888764321</t>
  </si>
  <si>
    <t xml:space="preserve">505176525</t>
  </si>
  <si>
    <t xml:space="preserve">2045523387694</t>
  </si>
  <si>
    <t xml:space="preserve">77766554332</t>
  </si>
  <si>
    <t xml:space="preserve">505517408</t>
  </si>
  <si>
    <t xml:space="preserve">2046721515483</t>
  </si>
  <si>
    <t xml:space="preserve">6757655544343</t>
  </si>
  <si>
    <t xml:space="preserve">568624083</t>
  </si>
  <si>
    <t xml:space="preserve">2046947487083</t>
  </si>
  <si>
    <t xml:space="preserve">8937298579634</t>
  </si>
  <si>
    <t xml:space="preserve">583848247</t>
  </si>
  <si>
    <t xml:space="preserve">2044866102360</t>
  </si>
  <si>
    <t xml:space="preserve">97785346753</t>
  </si>
  <si>
    <t xml:space="preserve">467177651</t>
  </si>
  <si>
    <t xml:space="preserve">2044230877269</t>
  </si>
  <si>
    <t xml:space="preserve">6754545454335</t>
  </si>
  <si>
    <t xml:space="preserve">430738893</t>
  </si>
  <si>
    <t xml:space="preserve">2046966581618</t>
  </si>
  <si>
    <t xml:space="preserve">87668553234</t>
  </si>
  <si>
    <t xml:space="preserve">584965957</t>
  </si>
  <si>
    <t xml:space="preserve">Подвеска с метеоритом Campo del Cielo 6,8 гр.</t>
  </si>
  <si>
    <t xml:space="preserve">2043682352393</t>
  </si>
  <si>
    <t xml:space="preserve">JW-NB-AGT-M-0126</t>
  </si>
  <si>
    <t xml:space="preserve">391243444</t>
  </si>
  <si>
    <t xml:space="preserve">Подвеска с метеоритом Campo del Сielo</t>
  </si>
  <si>
    <t xml:space="preserve">2043603413417</t>
  </si>
  <si>
    <t xml:space="preserve">JW-NB-AGT-M-0111</t>
  </si>
  <si>
    <t xml:space="preserve">387667621</t>
  </si>
  <si>
    <t xml:space="preserve">Подвеска с метеоритом Muonionalusta</t>
  </si>
  <si>
    <t xml:space="preserve">2043573842736</t>
  </si>
  <si>
    <t xml:space="preserve">JW-NB-AGT-M-0108</t>
  </si>
  <si>
    <t xml:space="preserve">386539305</t>
  </si>
  <si>
    <t xml:space="preserve">Подвеска с метеоритом Sericho</t>
  </si>
  <si>
    <t xml:space="preserve">2048927870588</t>
  </si>
  <si>
    <t xml:space="preserve">8786786767676554</t>
  </si>
  <si>
    <t xml:space="preserve">820164864</t>
  </si>
  <si>
    <t xml:space="preserve">2048928007600</t>
  </si>
  <si>
    <t xml:space="preserve">987434342321</t>
  </si>
  <si>
    <t xml:space="preserve">820177972</t>
  </si>
  <si>
    <t xml:space="preserve">Подвеска с метеоритом Кампо Дель Сьело - 8,1 гр.</t>
  </si>
  <si>
    <t xml:space="preserve">2049426480254</t>
  </si>
  <si>
    <t xml:space="preserve">75298375946222</t>
  </si>
  <si>
    <t xml:space="preserve">863679106</t>
  </si>
  <si>
    <t xml:space="preserve">Подвеска с метеоритом Кампо Дель Сьело 7,5 гр.</t>
  </si>
  <si>
    <t xml:space="preserve">2046720748073</t>
  </si>
  <si>
    <t xml:space="preserve">98723986578</t>
  </si>
  <si>
    <t xml:space="preserve">568557360</t>
  </si>
  <si>
    <t xml:space="preserve">2043468994106</t>
  </si>
  <si>
    <t xml:space="preserve">JW-NB-AGT-M-0104</t>
  </si>
  <si>
    <t xml:space="preserve">379084792</t>
  </si>
  <si>
    <t xml:space="preserve">2043468769414</t>
  </si>
  <si>
    <t xml:space="preserve">JW-NB-AGT-M-0103</t>
  </si>
  <si>
    <t xml:space="preserve">379073960</t>
  </si>
  <si>
    <t xml:space="preserve">2043575065898</t>
  </si>
  <si>
    <t xml:space="preserve">JW-NB-AGT-M-0109</t>
  </si>
  <si>
    <t xml:space="preserve">386621737</t>
  </si>
  <si>
    <t xml:space="preserve">Подвеска с метеоритом Муонионалуста</t>
  </si>
  <si>
    <t xml:space="preserve">2045516393688</t>
  </si>
  <si>
    <t xml:space="preserve">9876543211</t>
  </si>
  <si>
    <t xml:space="preserve">505173451</t>
  </si>
  <si>
    <t xml:space="preserve">Подвеска с метеоритом Сampo del Cielo</t>
  </si>
  <si>
    <t xml:space="preserve">2055011754587</t>
  </si>
  <si>
    <t xml:space="preserve">877567445342213</t>
  </si>
  <si>
    <t xml:space="preserve">1447902974</t>
  </si>
  <si>
    <t xml:space="preserve">2043586743990</t>
  </si>
  <si>
    <t xml:space="preserve">JW-NB-AGT-M-0110</t>
  </si>
  <si>
    <t xml:space="preserve">387093306</t>
  </si>
  <si>
    <t xml:space="preserve">2043467934868</t>
  </si>
  <si>
    <t xml:space="preserve">JW-NB-AGT-M-0101</t>
  </si>
  <si>
    <t xml:space="preserve">378998906</t>
  </si>
  <si>
    <t xml:space="preserve">2049384959342</t>
  </si>
  <si>
    <t xml:space="preserve">657654543343</t>
  </si>
  <si>
    <t xml:space="preserve">859439289</t>
  </si>
  <si>
    <t xml:space="preserve">2046248739539</t>
  </si>
  <si>
    <t xml:space="preserve">87878776554</t>
  </si>
  <si>
    <t xml:space="preserve">541224102</t>
  </si>
  <si>
    <t xml:space="preserve">Подвеска с метеоритом Сихотэ-Алинь</t>
  </si>
  <si>
    <t xml:space="preserve">2044436255946</t>
  </si>
  <si>
    <t xml:space="preserve">7656982</t>
  </si>
  <si>
    <t xml:space="preserve">443474437</t>
  </si>
  <si>
    <t xml:space="preserve">2046250441284</t>
  </si>
  <si>
    <t xml:space="preserve">6565683900</t>
  </si>
  <si>
    <t xml:space="preserve">541300068</t>
  </si>
  <si>
    <t xml:space="preserve">2044230855762</t>
  </si>
  <si>
    <t xml:space="preserve">456789000</t>
  </si>
  <si>
    <t xml:space="preserve">430738268</t>
  </si>
  <si>
    <t xml:space="preserve">Подвеска с подлинным метеоритом CAMPO</t>
  </si>
  <si>
    <t xml:space="preserve">2042233098766</t>
  </si>
  <si>
    <t xml:space="preserve">JW-NB-AGT-M-0040</t>
  </si>
  <si>
    <t xml:space="preserve">301521548</t>
  </si>
  <si>
    <t xml:space="preserve">Подвеска-мелонг из метеорита Муонионалуста амулет</t>
  </si>
  <si>
    <t xml:space="preserve">2048927922942</t>
  </si>
  <si>
    <t xml:space="preserve">9879654332222</t>
  </si>
  <si>
    <t xml:space="preserve">820171858</t>
  </si>
  <si>
    <t xml:space="preserve">Подвеска-метеорит Кампо Дель Сьело - 8 гр.</t>
  </si>
  <si>
    <t xml:space="preserve">2043693843118</t>
  </si>
  <si>
    <t xml:space="preserve">JW-NB-AGT-M-0122</t>
  </si>
  <si>
    <t xml:space="preserve">391771905</t>
  </si>
  <si>
    <t xml:space="preserve">Дронино - коллекционный образец</t>
  </si>
  <si>
    <t xml:space="preserve">2044462192581</t>
  </si>
  <si>
    <t xml:space="preserve">93875346</t>
  </si>
  <si>
    <t xml:space="preserve">445394512</t>
  </si>
  <si>
    <t xml:space="preserve">Коллекционный метеорит Сихотэ-Алинь</t>
  </si>
  <si>
    <t xml:space="preserve">2042588913257</t>
  </si>
  <si>
    <t xml:space="preserve">JW-NB-AGT-M-0056</t>
  </si>
  <si>
    <t xml:space="preserve">317539629</t>
  </si>
  <si>
    <t xml:space="preserve">Коллекционный образец - метеорит Сихоте Алинь</t>
  </si>
  <si>
    <t xml:space="preserve">2047766947925</t>
  </si>
  <si>
    <t xml:space="preserve">8765432345555</t>
  </si>
  <si>
    <t xml:space="preserve">690996240</t>
  </si>
  <si>
    <t xml:space="preserve">2044477145138</t>
  </si>
  <si>
    <t xml:space="preserve">987875443</t>
  </si>
  <si>
    <t xml:space="preserve">446603584</t>
  </si>
  <si>
    <t xml:space="preserve">2044892571222</t>
  </si>
  <si>
    <t xml:space="preserve">382569886</t>
  </si>
  <si>
    <t xml:space="preserve">468740722</t>
  </si>
  <si>
    <t xml:space="preserve">2044890706589</t>
  </si>
  <si>
    <t xml:space="preserve">03985097</t>
  </si>
  <si>
    <t xml:space="preserve">468695583</t>
  </si>
  <si>
    <t xml:space="preserve">Коллекционный образец метеорит Campo del Cielo №1</t>
  </si>
  <si>
    <t xml:space="preserve">2042931042221</t>
  </si>
  <si>
    <t xml:space="preserve">JW-NB-AGT-M-0067</t>
  </si>
  <si>
    <t xml:space="preserve">336330241</t>
  </si>
  <si>
    <t xml:space="preserve">Коллекционный образец метеорит Campo del Сielo</t>
  </si>
  <si>
    <t xml:space="preserve">2042910576150</t>
  </si>
  <si>
    <t xml:space="preserve">JW-NB-AGT-M-0069</t>
  </si>
  <si>
    <t xml:space="preserve">335125931</t>
  </si>
  <si>
    <t xml:space="preserve">2043083494197</t>
  </si>
  <si>
    <t xml:space="preserve">JW-NB-AGT-M-0064</t>
  </si>
  <si>
    <t xml:space="preserve">347604738</t>
  </si>
  <si>
    <t xml:space="preserve">2043413678914</t>
  </si>
  <si>
    <t xml:space="preserve">JW-NB-AGT-M-0091</t>
  </si>
  <si>
    <t xml:space="preserve">374531623</t>
  </si>
  <si>
    <t xml:space="preserve">Коллекционный образец метеорит Дронино</t>
  </si>
  <si>
    <t xml:space="preserve">2043290337584</t>
  </si>
  <si>
    <t xml:space="preserve">JW-NB-AGT-M-0085</t>
  </si>
  <si>
    <t xml:space="preserve">365938767</t>
  </si>
  <si>
    <t xml:space="preserve">2043413725786</t>
  </si>
  <si>
    <t xml:space="preserve">JW-NB-AGT-M-0092</t>
  </si>
  <si>
    <t xml:space="preserve">374544701</t>
  </si>
  <si>
    <t xml:space="preserve">2043289301459</t>
  </si>
  <si>
    <t xml:space="preserve">JW-NB-AGT-M-0083</t>
  </si>
  <si>
    <t xml:space="preserve">365849126</t>
  </si>
  <si>
    <t xml:space="preserve">2045712942017</t>
  </si>
  <si>
    <t xml:space="preserve">999987654</t>
  </si>
  <si>
    <t xml:space="preserve">516978318</t>
  </si>
  <si>
    <t xml:space="preserve">2043413885329</t>
  </si>
  <si>
    <t xml:space="preserve">JW-NB-AGT-M-0094</t>
  </si>
  <si>
    <t xml:space="preserve">374566431</t>
  </si>
  <si>
    <t xml:space="preserve">2045713223238</t>
  </si>
  <si>
    <t xml:space="preserve">888776543</t>
  </si>
  <si>
    <t xml:space="preserve">516980889</t>
  </si>
  <si>
    <t xml:space="preserve">2045712718469</t>
  </si>
  <si>
    <t xml:space="preserve">93257465</t>
  </si>
  <si>
    <t xml:space="preserve">516964535</t>
  </si>
  <si>
    <t xml:space="preserve">2043413753727</t>
  </si>
  <si>
    <t xml:space="preserve">JW-NB-AGT-M-0093</t>
  </si>
  <si>
    <t xml:space="preserve">374551051</t>
  </si>
  <si>
    <t xml:space="preserve">2043289572958</t>
  </si>
  <si>
    <t xml:space="preserve">JW-NB-AGT-M-0084</t>
  </si>
  <si>
    <t xml:space="preserve">365869460</t>
  </si>
  <si>
    <t xml:space="preserve">2045713954507</t>
  </si>
  <si>
    <t xml:space="preserve">55557789097654</t>
  </si>
  <si>
    <t xml:space="preserve">516995980</t>
  </si>
  <si>
    <t xml:space="preserve">2047094869296</t>
  </si>
  <si>
    <t xml:space="preserve">98235687435687</t>
  </si>
  <si>
    <t xml:space="preserve">597019891</t>
  </si>
  <si>
    <t xml:space="preserve">Коллекционный образец метеорит Дронино 16,5 гр.</t>
  </si>
  <si>
    <t xml:space="preserve">2045712649466</t>
  </si>
  <si>
    <t xml:space="preserve">876543222</t>
  </si>
  <si>
    <t xml:space="preserve">516959913</t>
  </si>
  <si>
    <t xml:space="preserve">Коллекционный образец метеорит Дронино №3</t>
  </si>
  <si>
    <t xml:space="preserve">2041364804680</t>
  </si>
  <si>
    <t xml:space="preserve">JW-NB-AGT-M-0011</t>
  </si>
  <si>
    <t xml:space="preserve">266967547</t>
  </si>
  <si>
    <t xml:space="preserve">Коллекционный образец метеорит Кампо Дель Сьело</t>
  </si>
  <si>
    <t xml:space="preserve">2041364871910</t>
  </si>
  <si>
    <t xml:space="preserve">JW-NB-AGT-M-0013</t>
  </si>
  <si>
    <t xml:space="preserve">266972361</t>
  </si>
  <si>
    <t xml:space="preserve">2047767053441</t>
  </si>
  <si>
    <t xml:space="preserve">87765645343</t>
  </si>
  <si>
    <t xml:space="preserve">691001605</t>
  </si>
  <si>
    <t xml:space="preserve">Коллекционный образец метеорит Кампо дель Сьело</t>
  </si>
  <si>
    <t xml:space="preserve">2042899079512</t>
  </si>
  <si>
    <t xml:space="preserve">JW-NB-AGT-M-0062</t>
  </si>
  <si>
    <t xml:space="preserve">334460490</t>
  </si>
  <si>
    <t xml:space="preserve">Коллекционный образец метеорит Каньон Дьябло</t>
  </si>
  <si>
    <t xml:space="preserve">2043665825586</t>
  </si>
  <si>
    <t xml:space="preserve">JW-NB-AGT-M-0118</t>
  </si>
  <si>
    <t xml:space="preserve">390777177</t>
  </si>
  <si>
    <t xml:space="preserve">2044462171210</t>
  </si>
  <si>
    <t xml:space="preserve">8923735874658746</t>
  </si>
  <si>
    <t xml:space="preserve">445391913</t>
  </si>
  <si>
    <t xml:space="preserve">2043569853173</t>
  </si>
  <si>
    <t xml:space="preserve">JW-NB-AGT-M-0107</t>
  </si>
  <si>
    <t xml:space="preserve">386392387</t>
  </si>
  <si>
    <t xml:space="preserve">2044504218545</t>
  </si>
  <si>
    <t xml:space="preserve">988776543</t>
  </si>
  <si>
    <t xml:space="preserve">447657279</t>
  </si>
  <si>
    <t xml:space="preserve">2044504255403</t>
  </si>
  <si>
    <t xml:space="preserve">92739856</t>
  </si>
  <si>
    <t xml:space="preserve">447659932</t>
  </si>
  <si>
    <t xml:space="preserve">Коллекционный образец метеорит Сихотэ-Алинь №2</t>
  </si>
  <si>
    <t xml:space="preserve">2048101268606</t>
  </si>
  <si>
    <t xml:space="preserve">957384759763</t>
  </si>
  <si>
    <t xml:space="preserve">731575790</t>
  </si>
  <si>
    <t xml:space="preserve">2044890417720</t>
  </si>
  <si>
    <t xml:space="preserve">9854736</t>
  </si>
  <si>
    <t xml:space="preserve">468684345</t>
  </si>
  <si>
    <t xml:space="preserve">Метеорит Campo del Cielo</t>
  </si>
  <si>
    <t xml:space="preserve">2047094620750</t>
  </si>
  <si>
    <t xml:space="preserve">89768756423</t>
  </si>
  <si>
    <t xml:space="preserve">596997213</t>
  </si>
  <si>
    <t xml:space="preserve">Метеорит Canyon Diablo коллекционный образей 12,4 гр.</t>
  </si>
  <si>
    <t xml:space="preserve">2043693988482</t>
  </si>
  <si>
    <t xml:space="preserve">JW-NB-AGT-M-0121</t>
  </si>
  <si>
    <t xml:space="preserve">391785664</t>
  </si>
  <si>
    <t xml:space="preserve">Метеорит Дронино - коллекционный образец</t>
  </si>
  <si>
    <t xml:space="preserve">2043413644346</t>
  </si>
  <si>
    <t xml:space="preserve">JW-NB-AGT-M-0090</t>
  </si>
  <si>
    <t xml:space="preserve">374522317</t>
  </si>
  <si>
    <t xml:space="preserve">Метеорит Дронино 10,2 г - редкий образец для медитаций</t>
  </si>
  <si>
    <t xml:space="preserve">2043922589947</t>
  </si>
  <si>
    <t xml:space="preserve">JW-NB-AGT-M-0132</t>
  </si>
  <si>
    <t xml:space="preserve">412516849</t>
  </si>
  <si>
    <t xml:space="preserve">Метеорит Кампо дель Сьело</t>
  </si>
  <si>
    <t xml:space="preserve">2042500500114</t>
  </si>
  <si>
    <t xml:space="preserve">JW-NB-AGT-M-0054</t>
  </si>
  <si>
    <t xml:space="preserve">312927818</t>
  </si>
  <si>
    <t xml:space="preserve">2042310424280</t>
  </si>
  <si>
    <t xml:space="preserve">JW-NB-AGT-M-0044</t>
  </si>
  <si>
    <t xml:space="preserve">304767230</t>
  </si>
  <si>
    <t xml:space="preserve">2042423985401</t>
  </si>
  <si>
    <t xml:space="preserve">JW-NB-AGT-M-0051</t>
  </si>
  <si>
    <t xml:space="preserve">309514535</t>
  </si>
  <si>
    <t xml:space="preserve">2042610817485</t>
  </si>
  <si>
    <t xml:space="preserve">JW-NB-AGT-M-0074</t>
  </si>
  <si>
    <t xml:space="preserve">318621865</t>
  </si>
  <si>
    <t xml:space="preserve">2042610731958</t>
  </si>
  <si>
    <t xml:space="preserve">JW-NB-AGT-M-0077</t>
  </si>
  <si>
    <t xml:space="preserve">318613442</t>
  </si>
  <si>
    <t xml:space="preserve">Метеорит Кампо дель Сьело - коллекционный образец</t>
  </si>
  <si>
    <t xml:space="preserve">2042868629441</t>
  </si>
  <si>
    <t xml:space="preserve">JW-NB-AGT-M-0072</t>
  </si>
  <si>
    <t xml:space="preserve">333508872</t>
  </si>
  <si>
    <t xml:space="preserve">Метеорит Кампо-дель-Сьело 16,2г - образец из Полей Аргентины</t>
  </si>
  <si>
    <t xml:space="preserve">2043083380636</t>
  </si>
  <si>
    <t xml:space="preserve">JW-NB-AGT-M-0065</t>
  </si>
  <si>
    <t xml:space="preserve">347595157</t>
  </si>
  <si>
    <t xml:space="preserve">Метеорит Кампо-дель-Сьело 16,6г - с уникальной структурой</t>
  </si>
  <si>
    <t xml:space="preserve">2042310511829</t>
  </si>
  <si>
    <t xml:space="preserve">JW-NB-AGT-M-0045</t>
  </si>
  <si>
    <t xml:space="preserve">304771951</t>
  </si>
  <si>
    <t xml:space="preserve">Метеорит Кампо-дель-Сьело 19,7г - железо-никелевый образец</t>
  </si>
  <si>
    <t xml:space="preserve">2044891056751</t>
  </si>
  <si>
    <t xml:space="preserve">76665545444</t>
  </si>
  <si>
    <t xml:space="preserve">468705942</t>
  </si>
  <si>
    <t xml:space="preserve">Метеорит Кампо-дель-Сьело железный образец №2</t>
  </si>
  <si>
    <t xml:space="preserve">2042602239370</t>
  </si>
  <si>
    <t xml:space="preserve">JW-NB-AGT-M-0058</t>
  </si>
  <si>
    <t xml:space="preserve">318124238</t>
  </si>
  <si>
    <t xml:space="preserve">Метеорит Каньон Дьябло - коллекционный образец: 15,6 гр.</t>
  </si>
  <si>
    <t xml:space="preserve">2042786475694</t>
  </si>
  <si>
    <t xml:space="preserve">JW-NB-AGT-M-0080</t>
  </si>
  <si>
    <t xml:space="preserve">328065348</t>
  </si>
  <si>
    <t xml:space="preserve">Метеорит Каньон Дьябло 15,2г - из Аризонского кратера</t>
  </si>
  <si>
    <t xml:space="preserve">2043921373257</t>
  </si>
  <si>
    <t xml:space="preserve">JW-NB-AGT-M-0131</t>
  </si>
  <si>
    <t xml:space="preserve">412413756</t>
  </si>
  <si>
    <t xml:space="preserve">2043693370416</t>
  </si>
  <si>
    <t xml:space="preserve">JW-NB-AGT-M-0123</t>
  </si>
  <si>
    <t xml:space="preserve">391729632</t>
  </si>
  <si>
    <t xml:space="preserve">Метеорит Сихотэ-Алинь - редкий коллекционный образец</t>
  </si>
  <si>
    <t xml:space="preserve">2043682217265</t>
  </si>
  <si>
    <t xml:space="preserve">JW-NB-AGT-M-0120</t>
  </si>
  <si>
    <t xml:space="preserve">391231570</t>
  </si>
  <si>
    <t xml:space="preserve">2043318992788</t>
  </si>
  <si>
    <t xml:space="preserve">JW-NB-AGT-M-0087</t>
  </si>
  <si>
    <t xml:space="preserve">367834455</t>
  </si>
  <si>
    <t xml:space="preserve">Метеорит Сихотэ-Алинь 13,1г - космический образец класса</t>
  </si>
  <si>
    <t xml:space="preserve">2043019146183</t>
  </si>
  <si>
    <t xml:space="preserve">JW-NB-AGT-M-0060</t>
  </si>
  <si>
    <t xml:space="preserve">343158945</t>
  </si>
  <si>
    <t xml:space="preserve">Метеорит Сихотэ-Алинь 16,3г - железный космический образец</t>
  </si>
  <si>
    <t xml:space="preserve">2043336345467</t>
  </si>
  <si>
    <t xml:space="preserve">JW-NB-AGT-M-0088</t>
  </si>
  <si>
    <t xml:space="preserve">369052608</t>
  </si>
  <si>
    <t xml:space="preserve">Метеорит Сихотэ-Алинь 16,8г - образец с сертификатом</t>
  </si>
  <si>
    <t xml:space="preserve">2042741661704</t>
  </si>
  <si>
    <t xml:space="preserve">JW-NB-AGT-M-0075</t>
  </si>
  <si>
    <t xml:space="preserve">325757368</t>
  </si>
  <si>
    <t xml:space="preserve">Метеорит Сихотэ-Алинь 17,7г - с видманштеттеновой структурой</t>
  </si>
  <si>
    <t xml:space="preserve">2042741456423</t>
  </si>
  <si>
    <t xml:space="preserve">JW-NB-AGT-M-0068</t>
  </si>
  <si>
    <t xml:space="preserve">325750462</t>
  </si>
  <si>
    <t xml:space="preserve">Метеорит Сихотэ-Алинь 19г - осколок с историей падения</t>
  </si>
  <si>
    <t xml:space="preserve">2042589150415</t>
  </si>
  <si>
    <t xml:space="preserve">JW-NB-AGT-M-0057</t>
  </si>
  <si>
    <t xml:space="preserve">317547824</t>
  </si>
  <si>
    <t xml:space="preserve">Метеорит Сихотэ-Алинь 20г - образец для коллекции</t>
  </si>
  <si>
    <t xml:space="preserve">2043413317943</t>
  </si>
  <si>
    <t xml:space="preserve">JW-NB-AGT-M-0089</t>
  </si>
  <si>
    <t xml:space="preserve">374472432</t>
  </si>
  <si>
    <t xml:space="preserve">Метеорит Сихотэ-Алинь 37,2г - крупный образец</t>
  </si>
  <si>
    <t xml:space="preserve">2043083972268</t>
  </si>
  <si>
    <t xml:space="preserve">JW-NB-AGT-M-0063</t>
  </si>
  <si>
    <t xml:space="preserve">347637872</t>
  </si>
  <si>
    <t xml:space="preserve">Метеорит Сихотэ-Алинь 5,5г - компактный образец</t>
  </si>
  <si>
    <t xml:space="preserve">2042868743543</t>
  </si>
  <si>
    <t xml:space="preserve">JW-NB-AGT-M-0061</t>
  </si>
  <si>
    <t xml:space="preserve">333517271</t>
  </si>
  <si>
    <t xml:space="preserve">Метеорит Сихотэ-Алинь 52г - образец с корой плавления</t>
  </si>
  <si>
    <t xml:space="preserve">2048749709370</t>
  </si>
  <si>
    <t xml:space="preserve">8372985637486572</t>
  </si>
  <si>
    <t xml:space="preserve">801052463</t>
  </si>
  <si>
    <t xml:space="preserve">Метеорит Сихотэ-Алинь железный, коллекционный фрагмент</t>
  </si>
  <si>
    <t xml:space="preserve">2044504231506</t>
  </si>
  <si>
    <t xml:space="preserve">9057404375</t>
  </si>
  <si>
    <t xml:space="preserve">447659169</t>
  </si>
  <si>
    <t xml:space="preserve">Метеорит Сихотэ-Алинь железный, осколок, образец №1</t>
  </si>
  <si>
    <t xml:space="preserve">2045887928175</t>
  </si>
  <si>
    <t xml:space="preserve">554432987</t>
  </si>
  <si>
    <t xml:space="preserve">526534735</t>
  </si>
  <si>
    <t xml:space="preserve">Метеорит Сихотэ-Алинь №1</t>
  </si>
  <si>
    <t xml:space="preserve">2042308434734</t>
  </si>
  <si>
    <t xml:space="preserve">JW-NB-AGT-M-0042</t>
  </si>
  <si>
    <t xml:space="preserve">304681906</t>
  </si>
  <si>
    <t xml:space="preserve">Фигурка Пияо из марокканского метеорита</t>
  </si>
  <si>
    <t xml:space="preserve">2042168608269</t>
  </si>
  <si>
    <t xml:space="preserve">JW-NB-AGT-M-0043</t>
  </si>
  <si>
    <t xml:space="preserve">298650698</t>
  </si>
  <si>
    <t xml:space="preserve">Серьги "Кольца Сатурна" с метеоритом Муонионалуста</t>
  </si>
  <si>
    <t xml:space="preserve">Серьги</t>
  </si>
  <si>
    <t xml:space="preserve">Таблица товаров KOTELNIKOVARTIFACT под импорт себестоимости в finstock</t>
  </si>
  <si>
    <t xml:space="preserve">Что заполнить</t>
  </si>
  <si>
    <t xml:space="preserve">Лист «Товары», колонки «Себестоимость, ₽», «Источник себестоимости», «Откуда цифра» (жёлтые).</t>
  </si>
  <si>
    <t xml:space="preserve">Тёмно-жёлтые — себестоимости нет, её нужно внести. Светло-жёлтые — цифра уже есть, её можно поправить.</t>
  </si>
  <si>
    <t xml:space="preserve">Источник: fact — закупочная цена известна; analogy — взята по похожему товару; guess — прикидка.</t>
  </si>
  <si>
    <t xml:space="preserve">Пример строки: себестоимость 2300, источник fact, откуда — «таблица себестоимости владельца».</t>
  </si>
  <si>
    <t xml:space="preserve">Себестоимость за 1 шт. У товара с несколькими размерами одна цифра на каждый размер (каждый штрихкод — своя строка).</t>
  </si>
  <si>
    <t xml:space="preserve">Остальные колонки — снимок площадок, их не править: при следующей выгрузке они перезапишутся.</t>
  </si>
  <si>
    <t xml:space="preserve">Покрытие на 18.09.2026</t>
  </si>
  <si>
    <t xml:space="preserve">Строк (штрихкодов): 410, карточек WB: 377. «Сертификат для Михаила» удалён из KIT и WB 21.09.2026.</t>
  </si>
  <si>
    <t xml:space="preserve">Себестоимость есть: 145, из них fact — 104, по аналогии — 41. Нет: 266.</t>
  </si>
  <si>
    <t xml:space="preserve">В наличии на FBS: 82 штрихкодов, из них без себестоимости: 37.</t>
  </si>
  <si>
    <t xml:space="preserve">Откуда данные (снимок 18.09.2026)</t>
  </si>
  <si>
    <t xml:space="preserve">Карточки и остатки — API Wildberries (content-api, marketplace-api, склад «Краснодар»).</t>
  </si>
  <si>
    <t xml:space="preserve">Цены WB продавца — discounts-prices-api WB.</t>
  </si>
  <si>
    <t xml:space="preserve">Цена на витрине WB — публичная карточка WB, регион Москва, с учётом СПП. Только товары в наличии.</t>
  </si>
  <si>
    <t xml:space="preserve">Цены KIT — API Яндекс KIT после синхронизации 18.09.2026. Ozon и Яндекс Маркет — API площадок.</t>
  </si>
  <si>
    <t xml:space="preserve">Себестоимость — sai_kotelnikovartifact/data/cogs-source.tsv (fact) и data/cogs-sellable-2026-06.tsv (fact / analogy).</t>
  </si>
  <si>
    <t xml:space="preserve">Для импорта в finstock</t>
  </si>
  <si>
    <t xml:space="preserve">Ключ товара — «Штрихкод» (products.barcode). Себестоимость → cost_minor (в копейках при импорте), источник → cost_source, «Откуда цифра» → cost_note.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</si>
</sst>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3B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wildberries.ru/catalog/259678801/detail.aspx" TargetMode="External"/><Relationship Id="rId3" Type="http://schemas.openxmlformats.org/officeDocument/2006/relationships/hyperlink" Target="https://kit.kotelnikovartifact.ru/products/braslet-mudrost-buddy-s-businoiy-i-mantroiy-dlya-meditacii-100352" TargetMode="External"/><Relationship Id="rId4" Type="http://schemas.openxmlformats.org/officeDocument/2006/relationships/hyperlink" Target="https://www.wildberries.ru/catalog/303598439/detail.aspx" TargetMode="External"/><Relationship Id="rId5" Type="http://schemas.openxmlformats.org/officeDocument/2006/relationships/hyperlink" Target="https://kit.kotelnikovartifact.ru/products/braslet-vershitel-s-meteoritom-muonionalusta-i-labradoritom-1-100165" TargetMode="External"/><Relationship Id="rId6" Type="http://schemas.openxmlformats.org/officeDocument/2006/relationships/hyperlink" Target="https://www.wildberries.ru/catalog/292157496/detail.aspx" TargetMode="External"/><Relationship Id="rId7" Type="http://schemas.openxmlformats.org/officeDocument/2006/relationships/hyperlink" Target="https://kit.kotelnikovartifact.ru/products/braslet-zvyezdnyiy-mag-s-meteoritom-aletaiy-i-businoiy-dzi-1-100114" TargetMode="External"/><Relationship Id="rId8" Type="http://schemas.openxmlformats.org/officeDocument/2006/relationships/hyperlink" Target="https://www.wildberries.ru/catalog/327127352/detail.aspx" TargetMode="External"/><Relationship Id="rId9" Type="http://schemas.openxmlformats.org/officeDocument/2006/relationships/hyperlink" Target="https://kit.kotelnikovartifact.ru/products/braslet-sinergiya-s-meteoritom-aletaiy-i-labradoritom-3-100127" TargetMode="External"/><Relationship Id="rId10" Type="http://schemas.openxmlformats.org/officeDocument/2006/relationships/hyperlink" Target="https://www.wildberries.ru/catalog/567344728/detail.aspx" TargetMode="External"/><Relationship Id="rId11" Type="http://schemas.openxmlformats.org/officeDocument/2006/relationships/hyperlink" Target="https://kit.kotelnikovartifact.ru/products/braslet-jenskiiy-serdce-buddy-s-meteoritom-aletaiy-i-dzi-100168" TargetMode="External"/><Relationship Id="rId12" Type="http://schemas.openxmlformats.org/officeDocument/2006/relationships/hyperlink" Target="https://www.wildberries.ru/catalog/430742201/detail.aspx" TargetMode="External"/><Relationship Id="rId13" Type="http://schemas.openxmlformats.org/officeDocument/2006/relationships/hyperlink" Target="https://kit.kotelnikovartifact.ru/products/braslet-iz-naturalnyh-kamneiy-s-meteoritom-muonionalusta-100198" TargetMode="External"/><Relationship Id="rId14" Type="http://schemas.openxmlformats.org/officeDocument/2006/relationships/hyperlink" Target="https://www.wildberries.ru/catalog/306818299/detail.aspx" TargetMode="External"/><Relationship Id="rId15" Type="http://schemas.openxmlformats.org/officeDocument/2006/relationships/hyperlink" Target="https://kit.kotelnikovartifact.ru/products/mujskoiy-braslet-prometeiy-labradorit-s-meteoritom-aletaiy-100181" TargetMode="External"/><Relationship Id="rId16" Type="http://schemas.openxmlformats.org/officeDocument/2006/relationships/hyperlink" Target="https://www.wildberries.ru/catalog/702062898/detail.aspx" TargetMode="External"/><Relationship Id="rId17" Type="http://schemas.openxmlformats.org/officeDocument/2006/relationships/hyperlink" Target="https://kit.kotelnikovartifact.ru/products/mujskoiy-braslet-iz-naturalnyh-kamneiy-s-meteoritom-aletaiy-2-100227" TargetMode="External"/><Relationship Id="rId18" Type="http://schemas.openxmlformats.org/officeDocument/2006/relationships/hyperlink" Target="https://www.wildberries.ru/catalog/702062898/detail.aspx" TargetMode="External"/><Relationship Id="rId19" Type="http://schemas.openxmlformats.org/officeDocument/2006/relationships/hyperlink" Target="https://kit.kotelnikovartifact.ru/products/mujskoiy-braslet-iz-naturalnyh-kamneiy-s-meteoritom-aletaiy-100225" TargetMode="External"/><Relationship Id="rId20" Type="http://schemas.openxmlformats.org/officeDocument/2006/relationships/hyperlink" Target="https://www.wildberries.ru/catalog/702062898/detail.aspx" TargetMode="External"/><Relationship Id="rId21" Type="http://schemas.openxmlformats.org/officeDocument/2006/relationships/hyperlink" Target="https://kit.kotelnikovartifact.ru/products/mujskoiy-braslet-iz-naturalnyh-kamneiy-s-meteoritom-aletaiy-1-100226" TargetMode="External"/><Relationship Id="rId22" Type="http://schemas.openxmlformats.org/officeDocument/2006/relationships/hyperlink" Target="https://www.wildberries.ru/catalog/1068044235/detail.aspx" TargetMode="External"/><Relationship Id="rId23" Type="http://schemas.openxmlformats.org/officeDocument/2006/relationships/hyperlink" Target="https://kit.kotelnikovartifact.ru/products/amulet-busina-dzi-9-glaz-iz-liviiyskogo-stekla-talisman-100133" TargetMode="External"/><Relationship Id="rId24" Type="http://schemas.openxmlformats.org/officeDocument/2006/relationships/hyperlink" Target="https://www.wildberries.ru/catalog/989737513/detail.aspx" TargetMode="External"/><Relationship Id="rId25" Type="http://schemas.openxmlformats.org/officeDocument/2006/relationships/hyperlink" Target="https://kit.kotelnikovartifact.ru/products/busina-dzi-9-glaz-iz-meteorita-aletaiy-amulet-obereg-100092" TargetMode="External"/><Relationship Id="rId26" Type="http://schemas.openxmlformats.org/officeDocument/2006/relationships/hyperlink" Target="https://www.wildberries.ru/catalog/988359699/detail.aspx" TargetMode="External"/><Relationship Id="rId27" Type="http://schemas.openxmlformats.org/officeDocument/2006/relationships/hyperlink" Target="https://kit.kotelnikovartifact.ru/products/busina-dzi-9-glaz-meteorit-aletaiy-zoloto-amulet-obereg-100204" TargetMode="External"/><Relationship Id="rId28" Type="http://schemas.openxmlformats.org/officeDocument/2006/relationships/hyperlink" Target="https://www.wildberries.ru/catalog/988801724/detail.aspx" TargetMode="External"/><Relationship Id="rId29" Type="http://schemas.openxmlformats.org/officeDocument/2006/relationships/hyperlink" Target="https://kit.kotelnikovartifact.ru/products/busina-dzi-iz-meteorita-aletaiy-100209" TargetMode="External"/><Relationship Id="rId30" Type="http://schemas.openxmlformats.org/officeDocument/2006/relationships/hyperlink" Target="https://www.wildberries.ru/catalog/988261734/detail.aspx" TargetMode="External"/><Relationship Id="rId31" Type="http://schemas.openxmlformats.org/officeDocument/2006/relationships/hyperlink" Target="https://kit.kotelnikovartifact.ru/products/kulon-drakon-iz-meteorita-aletaiy-amulet-obereg-reznoiy-100026" TargetMode="External"/><Relationship Id="rId32" Type="http://schemas.openxmlformats.org/officeDocument/2006/relationships/hyperlink" Target="https://www.wildberries.ru/catalog/1201433951/detail.aspx" TargetMode="External"/><Relationship Id="rId33" Type="http://schemas.openxmlformats.org/officeDocument/2006/relationships/hyperlink" Target="https://kit.kotelnikovartifact.ru/products/kulon-pi-yao-iz-meteorita-aletaiy-amulet-izobiliya-obereg-100070" TargetMode="External"/><Relationship Id="rId34" Type="http://schemas.openxmlformats.org/officeDocument/2006/relationships/hyperlink" Target="https://www.wildberries.ru/catalog/989770544/detail.aspx" TargetMode="External"/><Relationship Id="rId35" Type="http://schemas.openxmlformats.org/officeDocument/2006/relationships/hyperlink" Target="https://kit.kotelnikovartifact.ru/products/kulon-chjun-kuiy-iz-indoshinita-amulet-zashchity-obereg-100111" TargetMode="External"/><Relationship Id="rId36" Type="http://schemas.openxmlformats.org/officeDocument/2006/relationships/hyperlink" Target="https://www.wildberries.ru/catalog/996271114/detail.aspx" TargetMode="External"/><Relationship Id="rId37" Type="http://schemas.openxmlformats.org/officeDocument/2006/relationships/hyperlink" Target="https://kit.kotelnikovartifact.ru/products/kulon-chjun-kuiy-iz-indoshinita-amulet-zashchity-obereg-reznoiy-100180" TargetMode="External"/><Relationship Id="rId38" Type="http://schemas.openxmlformats.org/officeDocument/2006/relationships/hyperlink" Target="https://www.wildberries.ru/catalog/815367526/detail.aspx" TargetMode="External"/><Relationship Id="rId39" Type="http://schemas.openxmlformats.org/officeDocument/2006/relationships/hyperlink" Target="https://kit.kotelnikovartifact.ru/products/kulon-iz-meteorita-aletaiy-obereg-amulet-100021" TargetMode="External"/><Relationship Id="rId40" Type="http://schemas.openxmlformats.org/officeDocument/2006/relationships/hyperlink" Target="https://www.wildberries.ru/catalog/1002907466/detail.aspx" TargetMode="External"/><Relationship Id="rId41" Type="http://schemas.openxmlformats.org/officeDocument/2006/relationships/hyperlink" Target="https://kit.kotelnikovartifact.ru/products/kulon-amulet-pauk-iz-indoshinita-tektit-obereg-talisman-100173" TargetMode="External"/><Relationship Id="rId42" Type="http://schemas.openxmlformats.org/officeDocument/2006/relationships/hyperlink" Target="https://www.wildberries.ru/catalog/597014053/detail.aspx" TargetMode="External"/><Relationship Id="rId43" Type="http://schemas.openxmlformats.org/officeDocument/2006/relationships/hyperlink" Target="https://kit.kotelnikovartifact.ru/products/meteorit-dronino-jeleznyiy-kollekcionnyiy-obrazec-278-gr-100218" TargetMode="External"/><Relationship Id="rId44" Type="http://schemas.openxmlformats.org/officeDocument/2006/relationships/hyperlink" Target="https://www.wildberries.ru/catalog/817125168/detail.aspx" TargetMode="External"/><Relationship Id="rId45" Type="http://schemas.openxmlformats.org/officeDocument/2006/relationships/hyperlink" Target="https://kit.kotelnikovartifact.ru/products/meteorit-dronino-jeleznyiy-kollekcionnyiy-obrazec-621-gr-100146" TargetMode="External"/><Relationship Id="rId46" Type="http://schemas.openxmlformats.org/officeDocument/2006/relationships/hyperlink" Target="https://www.wildberries.ru/catalog/597008791/detail.aspx" TargetMode="External"/><Relationship Id="rId47" Type="http://schemas.openxmlformats.org/officeDocument/2006/relationships/hyperlink" Target="https://kit.kotelnikovartifact.ru/products/meteorit-dronino-jeleznyiy-kollekcionnyiy-obrazec-7-100206" TargetMode="External"/><Relationship Id="rId48" Type="http://schemas.openxmlformats.org/officeDocument/2006/relationships/hyperlink" Target="https://www.wildberries.ru/catalog/817179030/detail.aspx" TargetMode="External"/><Relationship Id="rId49" Type="http://schemas.openxmlformats.org/officeDocument/2006/relationships/hyperlink" Target="https://kit.kotelnikovartifact.ru/products/meteorit-kampo-del-selo-jeleznyiy-obrazec-271-gr-obereg-100149" TargetMode="External"/><Relationship Id="rId50" Type="http://schemas.openxmlformats.org/officeDocument/2006/relationships/hyperlink" Target="https://www.wildberries.ru/catalog/447795230/detail.aspx" TargetMode="External"/><Relationship Id="rId51" Type="http://schemas.openxmlformats.org/officeDocument/2006/relationships/hyperlink" Target="https://kit.kotelnikovartifact.ru/products/meteorit-sihote-alin-4-100324" TargetMode="External"/><Relationship Id="rId52" Type="http://schemas.openxmlformats.org/officeDocument/2006/relationships/hyperlink" Target="https://www.wildberries.ru/catalog/528127722/detail.aspx" TargetMode="External"/><Relationship Id="rId53" Type="http://schemas.openxmlformats.org/officeDocument/2006/relationships/hyperlink" Target="https://kit.kotelnikovartifact.ru/products/meteorit-sihote-alin-jeleznyiy-kollekcionnyiy-obrazec-4-100201" TargetMode="External"/><Relationship Id="rId54" Type="http://schemas.openxmlformats.org/officeDocument/2006/relationships/hyperlink" Target="https://www.wildberries.ru/catalog/528137045/detail.aspx" TargetMode="External"/><Relationship Id="rId55" Type="http://schemas.openxmlformats.org/officeDocument/2006/relationships/hyperlink" Target="https://kit.kotelnikovartifact.ru/products/meteorit-sihote-alin-jeleznyiy-kollekcionnyiy-obrazec-5-100147" TargetMode="External"/><Relationship Id="rId56" Type="http://schemas.openxmlformats.org/officeDocument/2006/relationships/hyperlink" Target="https://www.wildberries.ru/catalog/826761260/detail.aspx" TargetMode="External"/><Relationship Id="rId57" Type="http://schemas.openxmlformats.org/officeDocument/2006/relationships/hyperlink" Target="https://kit.kotelnikovartifact.ru/products/meteorit-sihote-alin-jeleznyiy-obrazec-194-gr-obereg-100148" TargetMode="External"/><Relationship Id="rId58" Type="http://schemas.openxmlformats.org/officeDocument/2006/relationships/hyperlink" Target="https://www.wildberries.ru/catalog/826793732/detail.aspx" TargetMode="External"/><Relationship Id="rId59" Type="http://schemas.openxmlformats.org/officeDocument/2006/relationships/hyperlink" Target="https://kit.kotelnikovartifact.ru/products/meteorit-sihote-alin-jeleznyiy-obrazec-311-gr-obereg-100222" TargetMode="External"/><Relationship Id="rId60" Type="http://schemas.openxmlformats.org/officeDocument/2006/relationships/hyperlink" Target="https://www.wildberries.ru/catalog/859651570/detail.aspx" TargetMode="External"/><Relationship Id="rId61" Type="http://schemas.openxmlformats.org/officeDocument/2006/relationships/hyperlink" Target="https://kit.kotelnikovartifact.ru/products/meteorit-sihote-alin-jeleznyiy-obrazec-557-gr-obereg-100223" TargetMode="External"/><Relationship Id="rId62" Type="http://schemas.openxmlformats.org/officeDocument/2006/relationships/hyperlink" Target="https://www.wildberries.ru/catalog/1532068755/detail.aspx" TargetMode="External"/><Relationship Id="rId63" Type="http://schemas.openxmlformats.org/officeDocument/2006/relationships/hyperlink" Target="https://www.wildberries.ru/catalog/1531869880/detail.aspx" TargetMode="External"/><Relationship Id="rId64" Type="http://schemas.openxmlformats.org/officeDocument/2006/relationships/hyperlink" Target="https://www.wildberries.ru/catalog/1531849856/detail.aspx" TargetMode="External"/><Relationship Id="rId65" Type="http://schemas.openxmlformats.org/officeDocument/2006/relationships/hyperlink" Target="https://www.wildberries.ru/catalog/1280391081/detail.aspx" TargetMode="External"/><Relationship Id="rId66" Type="http://schemas.openxmlformats.org/officeDocument/2006/relationships/hyperlink" Target="https://kit.kotelnikovartifact.ru/products/meteorit-sihote-alin-kollekcionnyiy-obrazec-87-gr-obereg-100102" TargetMode="External"/><Relationship Id="rId67" Type="http://schemas.openxmlformats.org/officeDocument/2006/relationships/hyperlink" Target="https://www.wildberries.ru/catalog/1531792237/detail.aspx" TargetMode="External"/><Relationship Id="rId68" Type="http://schemas.openxmlformats.org/officeDocument/2006/relationships/hyperlink" Target="https://www.wildberries.ru/catalog/731567520/detail.aspx" TargetMode="External"/><Relationship Id="rId69" Type="http://schemas.openxmlformats.org/officeDocument/2006/relationships/hyperlink" Target="https://kit.kotelnikovartifact.ru/products/meteorit-carev-gorbushka-345-gr-100290" TargetMode="External"/><Relationship Id="rId70" Type="http://schemas.openxmlformats.org/officeDocument/2006/relationships/hyperlink" Target="https://www.wildberries.ru/catalog/826574563/detail.aspx" TargetMode="External"/><Relationship Id="rId71" Type="http://schemas.openxmlformats.org/officeDocument/2006/relationships/hyperlink" Target="https://kit.kotelnikovartifact.ru/products/meteorit-caryev-kamennyiy-obrazec-119-gr-podarok-mujchine-100106" TargetMode="External"/><Relationship Id="rId72" Type="http://schemas.openxmlformats.org/officeDocument/2006/relationships/hyperlink" Target="https://www.wildberries.ru/catalog/826589694/detail.aspx" TargetMode="External"/><Relationship Id="rId73" Type="http://schemas.openxmlformats.org/officeDocument/2006/relationships/hyperlink" Target="https://kit.kotelnikovartifact.ru/products/meteorit-caryev-kamennyiy-obrazec-30-gr-obereg-kollekcionnyiy-100155" TargetMode="External"/><Relationship Id="rId74" Type="http://schemas.openxmlformats.org/officeDocument/2006/relationships/hyperlink" Target="https://www.wildberries.ru/catalog/826579332/detail.aspx" TargetMode="External"/><Relationship Id="rId75" Type="http://schemas.openxmlformats.org/officeDocument/2006/relationships/hyperlink" Target="https://kit.kotelnikovartifact.ru/products/meteorit-caryev-kamennyiy-obrazec-33-gr-obereg-kollekcionnyiy-100107" TargetMode="External"/><Relationship Id="rId76" Type="http://schemas.openxmlformats.org/officeDocument/2006/relationships/hyperlink" Target="https://www.wildberries.ru/catalog/1128998482/detail.aspx" TargetMode="External"/><Relationship Id="rId77" Type="http://schemas.openxmlformats.org/officeDocument/2006/relationships/hyperlink" Target="https://kit.kotelnikovartifact.ru/products/meteorit-caryev-kamennyiy-obrazec-34-gr-obereg-podarok-100144" TargetMode="External"/><Relationship Id="rId78" Type="http://schemas.openxmlformats.org/officeDocument/2006/relationships/hyperlink" Target="https://www.wildberries.ru/catalog/1128927754/detail.aspx" TargetMode="External"/><Relationship Id="rId79" Type="http://schemas.openxmlformats.org/officeDocument/2006/relationships/hyperlink" Target="https://kit.kotelnikovartifact.ru/products/meteorit-caryev-kamennyiy-obrazec-64-gr-obereg-podarok-100193" TargetMode="External"/><Relationship Id="rId80" Type="http://schemas.openxmlformats.org/officeDocument/2006/relationships/hyperlink" Target="https://www.wildberries.ru/catalog/1566899844/detail.aspx" TargetMode="External"/><Relationship Id="rId81" Type="http://schemas.openxmlformats.org/officeDocument/2006/relationships/hyperlink" Target="https://www.wildberries.ru/catalog/795157398/detail.aspx" TargetMode="External"/><Relationship Id="rId82" Type="http://schemas.openxmlformats.org/officeDocument/2006/relationships/hyperlink" Target="https://kit.kotelnikovartifact.ru/products/meteorit-caryev-kamennyiy-kollekcionnyiy-obrazec-293-gr-100208" TargetMode="External"/><Relationship Id="rId83" Type="http://schemas.openxmlformats.org/officeDocument/2006/relationships/hyperlink" Target="https://www.wildberries.ru/catalog/1041264341/detail.aspx" TargetMode="External"/><Relationship Id="rId84" Type="http://schemas.openxmlformats.org/officeDocument/2006/relationships/hyperlink" Target="https://kit.kotelnikovartifact.ru/products/mujskoiy-braslet-iz-naturalnyh-kamneiy-s-kamennym-meteoritom-100063" TargetMode="External"/><Relationship Id="rId85" Type="http://schemas.openxmlformats.org/officeDocument/2006/relationships/hyperlink" Target="https://www.wildberries.ru/catalog/861577726/detail.aspx" TargetMode="External"/><Relationship Id="rId86" Type="http://schemas.openxmlformats.org/officeDocument/2006/relationships/hyperlink" Target="https://kit.kotelnikovartifact.ru/products/podveska-mandjushri-iz-meteorita-aletaiy-amulet-obereg-100027" TargetMode="External"/><Relationship Id="rId87" Type="http://schemas.openxmlformats.org/officeDocument/2006/relationships/hyperlink" Target="https://www.wildberries.ru/catalog/1575434029/detail.aspx" TargetMode="External"/><Relationship Id="rId88" Type="http://schemas.openxmlformats.org/officeDocument/2006/relationships/hyperlink" Target="https://www.wildberries.ru/catalog/1458298879/detail.aspx" TargetMode="External"/><Relationship Id="rId89" Type="http://schemas.openxmlformats.org/officeDocument/2006/relationships/hyperlink" Target="https://kit.kotelnikovartifact.ru/products/sergi-s-moldavitom-100067" TargetMode="External"/><Relationship Id="rId90" Type="http://schemas.openxmlformats.org/officeDocument/2006/relationships/hyperlink" Target="https://www.wildberries.ru/catalog/1454981206/detail.aspx" TargetMode="External"/><Relationship Id="rId91" Type="http://schemas.openxmlformats.org/officeDocument/2006/relationships/hyperlink" Target="https://kit.kotelnikovartifact.ru/products/sergi-s-moldavitom-1-100101" TargetMode="External"/><Relationship Id="rId92" Type="http://schemas.openxmlformats.org/officeDocument/2006/relationships/hyperlink" Target="https://www.wildberries.ru/catalog/796862816/detail.aspx" TargetMode="External"/><Relationship Id="rId93" Type="http://schemas.openxmlformats.org/officeDocument/2006/relationships/hyperlink" Target="https://kit.kotelnikovartifact.ru/products/figurka-budda-iz-kamennogo-meteorita-773-gr-obereg-100089" TargetMode="External"/><Relationship Id="rId94" Type="http://schemas.openxmlformats.org/officeDocument/2006/relationships/hyperlink" Target="https://www.wildberries.ru/catalog/863787328/detail.aspx" TargetMode="External"/><Relationship Id="rId95" Type="http://schemas.openxmlformats.org/officeDocument/2006/relationships/hyperlink" Target="https://kit.kotelnikovartifact.ru/products/figurka-budda-iz-kamennogo-meteorita-kollekcionnaya-obereg-100112" TargetMode="External"/><Relationship Id="rId96" Type="http://schemas.openxmlformats.org/officeDocument/2006/relationships/hyperlink" Target="https://www.wildberries.ru/catalog/1479354734/detail.aspx" TargetMode="External"/><Relationship Id="rId97" Type="http://schemas.openxmlformats.org/officeDocument/2006/relationships/hyperlink" Target="https://kit.kotelnikovartifact.ru/products/krest-s-meteoritom-muonionalusta-podveska-obereg-100035" TargetMode="External"/><Relationship Id="rId98" Type="http://schemas.openxmlformats.org/officeDocument/2006/relationships/hyperlink" Target="https://www.wildberries.ru/catalog/307131325/detail.aspx" TargetMode="External"/><Relationship Id="rId99" Type="http://schemas.openxmlformats.org/officeDocument/2006/relationships/hyperlink" Target="https://kit.kotelnikovartifact.ru/products/kulon-denejnyiy-straj-iz-meteorita-muonionalusta-100093" TargetMode="External"/><Relationship Id="rId100" Type="http://schemas.openxmlformats.org/officeDocument/2006/relationships/hyperlink" Target="https://www.wildberries.ru/catalog/678735474/detail.aspx" TargetMode="External"/><Relationship Id="rId101" Type="http://schemas.openxmlformats.org/officeDocument/2006/relationships/hyperlink" Target="https://kit.kotelnikovartifact.ru/products/kulon-jenskiiy-iz-meteorita-aletaiy-amulet-obereg-podarok-100103" TargetMode="External"/><Relationship Id="rId102" Type="http://schemas.openxmlformats.org/officeDocument/2006/relationships/hyperlink" Target="https://www.wildberries.ru/catalog/292662989/detail.aspx" TargetMode="External"/><Relationship Id="rId103" Type="http://schemas.openxmlformats.org/officeDocument/2006/relationships/hyperlink" Target="https://kit.kotelnikovartifact.ru/products/podveska-merkaba-s-meteoritom-muonionalusta-obereg-100013" TargetMode="External"/><Relationship Id="rId104" Type="http://schemas.openxmlformats.org/officeDocument/2006/relationships/hyperlink" Target="https://www.wildberries.ru/catalog/1543937085/detail.aspx" TargetMode="External"/><Relationship Id="rId105" Type="http://schemas.openxmlformats.org/officeDocument/2006/relationships/hyperlink" Target="https://www.wildberries.ru/catalog/1532017989/detail.aspx" TargetMode="External"/><Relationship Id="rId106" Type="http://schemas.openxmlformats.org/officeDocument/2006/relationships/hyperlink" Target="https://www.wildberries.ru/catalog/378674958/detail.aspx" TargetMode="External"/><Relationship Id="rId107" Type="http://schemas.openxmlformats.org/officeDocument/2006/relationships/hyperlink" Target="https://kit.kotelnikovartifact.ru/products/podveska-jenskaya-melong-iz-meteorita-aletaiy-amulet-obereg-100031" TargetMode="External"/><Relationship Id="rId108" Type="http://schemas.openxmlformats.org/officeDocument/2006/relationships/hyperlink" Target="https://www.wildberries.ru/catalog/861562848/detail.aspx" TargetMode="External"/><Relationship Id="rId109" Type="http://schemas.openxmlformats.org/officeDocument/2006/relationships/hyperlink" Target="https://kit.kotelnikovartifact.ru/products/podveska-i-meteoritom-sericho-100081" TargetMode="External"/><Relationship Id="rId110" Type="http://schemas.openxmlformats.org/officeDocument/2006/relationships/hyperlink" Target="https://www.wildberries.ru/catalog/378649009/detail.aspx" TargetMode="External"/><Relationship Id="rId111" Type="http://schemas.openxmlformats.org/officeDocument/2006/relationships/hyperlink" Target="https://kit.kotelnikovartifact.ru/products/podveska-iz-meteorita-muonionalusta-3-100082" TargetMode="External"/><Relationship Id="rId112" Type="http://schemas.openxmlformats.org/officeDocument/2006/relationships/hyperlink" Target="https://www.wildberries.ru/catalog/288116175/detail.aspx" TargetMode="External"/><Relationship Id="rId113" Type="http://schemas.openxmlformats.org/officeDocument/2006/relationships/hyperlink" Target="https://kit.kotelnikovartifact.ru/products/podveska-s-meteoritom-2-100121" TargetMode="External"/><Relationship Id="rId114" Type="http://schemas.openxmlformats.org/officeDocument/2006/relationships/hyperlink" Target="https://www.wildberries.ru/catalog/288129588/detail.aspx" TargetMode="External"/><Relationship Id="rId115" Type="http://schemas.openxmlformats.org/officeDocument/2006/relationships/hyperlink" Target="https://kit.kotelnikovartifact.ru/products/podveska-s-meteoritom-100024" TargetMode="External"/><Relationship Id="rId116" Type="http://schemas.openxmlformats.org/officeDocument/2006/relationships/hyperlink" Target="https://www.wildberries.ru/catalog/446306396/detail.aspx" TargetMode="External"/><Relationship Id="rId117" Type="http://schemas.openxmlformats.org/officeDocument/2006/relationships/hyperlink" Target="https://kit.kotelnikovartifact.ru/products/podveska-s-meteoritom-muonionalusta-i-moldavitom-100016" TargetMode="External"/><Relationship Id="rId118" Type="http://schemas.openxmlformats.org/officeDocument/2006/relationships/hyperlink" Target="https://www.wildberries.ru/catalog/1579421243/detail.aspx" TargetMode="External"/><Relationship Id="rId119" Type="http://schemas.openxmlformats.org/officeDocument/2006/relationships/hyperlink" Target="https://www.wildberries.ru/catalog/378971071/detail.aspx" TargetMode="External"/><Relationship Id="rId120" Type="http://schemas.openxmlformats.org/officeDocument/2006/relationships/hyperlink" Target="https://kit.kotelnikovartifact.ru/products/podveska-s-meteoritom-sericho-2-100060" TargetMode="External"/><Relationship Id="rId121" Type="http://schemas.openxmlformats.org/officeDocument/2006/relationships/hyperlink" Target="https://www.wildberries.ru/catalog/1479315655/detail.aspx" TargetMode="External"/><Relationship Id="rId122" Type="http://schemas.openxmlformats.org/officeDocument/2006/relationships/hyperlink" Target="https://kit.kotelnikovartifact.ru/products/podveska-s-meteoritom-sericho-7-100064" TargetMode="External"/><Relationship Id="rId123" Type="http://schemas.openxmlformats.org/officeDocument/2006/relationships/hyperlink" Target="https://www.wildberries.ru/catalog/542414965/detail.aspx" TargetMode="External"/><Relationship Id="rId124" Type="http://schemas.openxmlformats.org/officeDocument/2006/relationships/hyperlink" Target="https://kit.kotelnikovartifact.ru/products/meteorit-dronino-jeleznyiy-kollekcionnyiy-obrazec-602-gr-100047" TargetMode="External"/><Relationship Id="rId125" Type="http://schemas.openxmlformats.org/officeDocument/2006/relationships/hyperlink" Target="https://www.wildberries.ru/catalog/374584531/detail.aspx" TargetMode="External"/><Relationship Id="rId126" Type="http://schemas.openxmlformats.org/officeDocument/2006/relationships/hyperlink" Target="https://kit.kotelnikovartifact.ru/products/meteorit-dronino-jeleznyiy-kollekcionnyiy-obrazec-podarok-100163" TargetMode="External"/><Relationship Id="rId127" Type="http://schemas.openxmlformats.org/officeDocument/2006/relationships/hyperlink" Target="https://www.wildberries.ru/catalog/366261520/detail.aspx" TargetMode="External"/><Relationship Id="rId128" Type="http://schemas.openxmlformats.org/officeDocument/2006/relationships/hyperlink" Target="https://kit.kotelnikovartifact.ru/products/meteorit-dronino-jeleznyiy-kollekcionnyiy-obrazec-1-100028" TargetMode="External"/><Relationship Id="rId129" Type="http://schemas.openxmlformats.org/officeDocument/2006/relationships/hyperlink" Target="https://www.wildberries.ru/catalog/516988052/detail.aspx" TargetMode="External"/><Relationship Id="rId130" Type="http://schemas.openxmlformats.org/officeDocument/2006/relationships/hyperlink" Target="https://kit.kotelnikovartifact.ru/products/meteorit-dronino-jeleznyiy-kollekcionnyiy-obrazec-4-100217" TargetMode="External"/><Relationship Id="rId131" Type="http://schemas.openxmlformats.org/officeDocument/2006/relationships/hyperlink" Target="https://www.wildberries.ru/catalog/517010714/detail.aspx" TargetMode="External"/><Relationship Id="rId132" Type="http://schemas.openxmlformats.org/officeDocument/2006/relationships/hyperlink" Target="https://kit.kotelnikovartifact.ru/products/meteorit-dronino-jeleznyiy-kollekcionnyiy-obrazec-5-100231" TargetMode="External"/><Relationship Id="rId133" Type="http://schemas.openxmlformats.org/officeDocument/2006/relationships/hyperlink" Target="https://www.wildberries.ru/catalog/267915412/detail.aspx" TargetMode="External"/><Relationship Id="rId134" Type="http://schemas.openxmlformats.org/officeDocument/2006/relationships/hyperlink" Target="https://kit.kotelnikovartifact.ru/products/meteorit-kampo-del-selo-jeleznyiy-kollekcionnyiy-obrazec-100150" TargetMode="External"/><Relationship Id="rId135" Type="http://schemas.openxmlformats.org/officeDocument/2006/relationships/hyperlink" Target="https://www.wildberries.ru/catalog/1201463781/detail.aspx" TargetMode="External"/><Relationship Id="rId136" Type="http://schemas.openxmlformats.org/officeDocument/2006/relationships/hyperlink" Target="https://kit.kotelnikovartifact.ru/products/meteorit-kanon-dyablo-kollekcionnyiy-obrazec-142-gr-100051" TargetMode="External"/><Relationship Id="rId137" Type="http://schemas.openxmlformats.org/officeDocument/2006/relationships/hyperlink" Target="https://www.wildberries.ru/catalog/1566842358/detail.aspx" TargetMode="External"/><Relationship Id="rId138" Type="http://schemas.openxmlformats.org/officeDocument/2006/relationships/hyperlink" Target="https://www.wildberries.ru/catalog/395873544/detail.aspx" TargetMode="External"/><Relationship Id="rId139" Type="http://schemas.openxmlformats.org/officeDocument/2006/relationships/hyperlink" Target="https://kit.kotelnikovartifact.ru/products/meteorit-sihote-alin-jeleznyiy-kollekcionnyiy-obereg-100232" TargetMode="External"/><Relationship Id="rId140" Type="http://schemas.openxmlformats.org/officeDocument/2006/relationships/hyperlink" Target="https://www.wildberries.ru/catalog/526554159/detail.aspx" TargetMode="External"/><Relationship Id="rId141" Type="http://schemas.openxmlformats.org/officeDocument/2006/relationships/hyperlink" Target="https://kit.kotelnikovartifact.ru/products/meteorit-sihote-alin-jeleznyiy-kollekcionnyiy-obrazec-2-100041" TargetMode="External"/><Relationship Id="rId142" Type="http://schemas.openxmlformats.org/officeDocument/2006/relationships/hyperlink" Target="https://www.wildberries.ru/catalog/270419874/detail.aspx" TargetMode="External"/><Relationship Id="rId143" Type="http://schemas.openxmlformats.org/officeDocument/2006/relationships/hyperlink" Target="https://kit.kotelnikovartifact.ru/products/meteorit-sihote-alin-jeleznyiy-oskolok-obrazec-100105" TargetMode="External"/><Relationship Id="rId144" Type="http://schemas.openxmlformats.org/officeDocument/2006/relationships/hyperlink" Target="https://www.wildberries.ru/catalog/445351461/detail.aspx" TargetMode="External"/><Relationship Id="rId145" Type="http://schemas.openxmlformats.org/officeDocument/2006/relationships/hyperlink" Target="https://kit.kotelnikovartifact.ru/products/meteorit-sihote-alin-kollekcionnyiy-obrazec-12-gr-obereg-100212" TargetMode="External"/><Relationship Id="rId146" Type="http://schemas.openxmlformats.org/officeDocument/2006/relationships/hyperlink" Target="https://www.wildberries.ru/catalog/445397811/detail.aspx" TargetMode="External"/><Relationship Id="rId147" Type="http://schemas.openxmlformats.org/officeDocument/2006/relationships/hyperlink" Target="https://kit.kotelnikovartifact.ru/products/meteorit-sihote-alin-kollekcionnyiy-obrazec-24-gr-obereg-100123" TargetMode="External"/><Relationship Id="rId148" Type="http://schemas.openxmlformats.org/officeDocument/2006/relationships/hyperlink" Target="https://www.wildberries.ru/catalog/996336745/detail.aspx" TargetMode="External"/><Relationship Id="rId149" Type="http://schemas.openxmlformats.org/officeDocument/2006/relationships/hyperlink" Target="https://kit.kotelnikovartifact.ru/products/meteorit-caryev-kamennyiy-kollekcionnyiy-obrazec-169-gr-100224" TargetMode="External"/><Relationship Id="rId150" Type="http://schemas.openxmlformats.org/officeDocument/2006/relationships/hyperlink" Target="https://www.wildberries.ru/catalog/1629432990/detail.aspx" TargetMode="External"/><Relationship Id="rId151" Type="http://schemas.openxmlformats.org/officeDocument/2006/relationships/hyperlink" Target="https://www.wildberries.ru/catalog/431548944/detail.aspx" TargetMode="External"/><Relationship Id="rId152" Type="http://schemas.openxmlformats.org/officeDocument/2006/relationships/hyperlink" Target="https://kit.kotelnikovartifact.ru/products/chasy-naruchnye-jenskie-s-meteoritom-muonionalusta-podarok-100190" TargetMode="External"/><Relationship Id="rId153" Type="http://schemas.openxmlformats.org/officeDocument/2006/relationships/hyperlink" Target="https://www.wildberries.ru/catalog/288063036/detail.aspx" TargetMode="External"/><Relationship Id="rId154" Type="http://schemas.openxmlformats.org/officeDocument/2006/relationships/hyperlink" Target="https://kit.kotelnikovartifact.ru/products/sharm-podveska-s-meteoritom-100396" TargetMode="External"/><Relationship Id="rId155" Type="http://schemas.openxmlformats.org/officeDocument/2006/relationships/hyperlink" Target="https://www.wildberries.ru/catalog/269374290/detail.aspx" TargetMode="External"/><Relationship Id="rId156" Type="http://schemas.openxmlformats.org/officeDocument/2006/relationships/hyperlink" Target="https://kit.kotelnikovartifact.ru/products/braslet-amrita-s-meteoritom-aletaiy-zashchitnyiy-talisman-100374" TargetMode="External"/><Relationship Id="rId157" Type="http://schemas.openxmlformats.org/officeDocument/2006/relationships/hyperlink" Target="https://www.wildberries.ru/catalog/269374290/detail.aspx" TargetMode="External"/><Relationship Id="rId158" Type="http://schemas.openxmlformats.org/officeDocument/2006/relationships/hyperlink" Target="https://kit.kotelnikovartifact.ru/products/braslet-amrita-s-meteoritom-aletaiy-zashchitnyiy-talisman-1-100375" TargetMode="External"/><Relationship Id="rId159" Type="http://schemas.openxmlformats.org/officeDocument/2006/relationships/hyperlink" Target="https://www.wildberries.ru/catalog/263616667/detail.aspx" TargetMode="External"/><Relationship Id="rId160" Type="http://schemas.openxmlformats.org/officeDocument/2006/relationships/hyperlink" Target="https://kit.kotelnikovartifact.ru/products/braslet-amrita-s-meteoritom-aletaiy-i-agatom-talisman-2-100392" TargetMode="External"/><Relationship Id="rId161" Type="http://schemas.openxmlformats.org/officeDocument/2006/relationships/hyperlink" Target="https://www.wildberries.ru/catalog/263616667/detail.aspx" TargetMode="External"/><Relationship Id="rId162" Type="http://schemas.openxmlformats.org/officeDocument/2006/relationships/hyperlink" Target="https://kit.kotelnikovartifact.ru/products/braslet-amrita-s-meteoritom-aletaiy-i-agatom-talisman-100390" TargetMode="External"/><Relationship Id="rId163" Type="http://schemas.openxmlformats.org/officeDocument/2006/relationships/hyperlink" Target="https://www.wildberries.ru/catalog/263616667/detail.aspx" TargetMode="External"/><Relationship Id="rId164" Type="http://schemas.openxmlformats.org/officeDocument/2006/relationships/hyperlink" Target="https://kit.kotelnikovartifact.ru/products/braslet-amrita-s-meteoritom-aletaiy-i-agatom-talisman-1-100391" TargetMode="External"/><Relationship Id="rId165" Type="http://schemas.openxmlformats.org/officeDocument/2006/relationships/hyperlink" Target="https://www.wildberries.ru/catalog/272447123/detail.aspx" TargetMode="External"/><Relationship Id="rId166" Type="http://schemas.openxmlformats.org/officeDocument/2006/relationships/hyperlink" Target="https://kit.kotelnikovartifact.ru/products/braslet-amulet-yasnoznaniya-s-businoiy-dzi-21-glaz-100346" TargetMode="External"/><Relationship Id="rId167" Type="http://schemas.openxmlformats.org/officeDocument/2006/relationships/hyperlink" Target="https://www.wildberries.ru/catalog/298059552/detail.aspx" TargetMode="External"/><Relationship Id="rId168" Type="http://schemas.openxmlformats.org/officeDocument/2006/relationships/hyperlink" Target="https://kit.kotelnikovartifact.ru/products/braslet-devyat-vrat-s-businoiy-dzi-9-glaz-talisman-100240" TargetMode="External"/><Relationship Id="rId169" Type="http://schemas.openxmlformats.org/officeDocument/2006/relationships/hyperlink" Target="https://www.wildberries.ru/catalog/291902573/detail.aspx" TargetMode="External"/><Relationship Id="rId170" Type="http://schemas.openxmlformats.org/officeDocument/2006/relationships/hyperlink" Target="https://kit.kotelnikovartifact.ru/products/braslet-zvezdnyiy-putnik-s-meteoritom-aletaiy-i-dzi-1-100335" TargetMode="External"/><Relationship Id="rId171" Type="http://schemas.openxmlformats.org/officeDocument/2006/relationships/hyperlink" Target="https://www.wildberries.ru/catalog/291902573/detail.aspx" TargetMode="External"/><Relationship Id="rId172" Type="http://schemas.openxmlformats.org/officeDocument/2006/relationships/hyperlink" Target="https://kit.kotelnikovartifact.ru/products/braslet-zvezdnyiy-putnik-s-meteoritom-aletaiy-i-dzi-100334" TargetMode="External"/><Relationship Id="rId173" Type="http://schemas.openxmlformats.org/officeDocument/2006/relationships/hyperlink" Target="https://www.wildberries.ru/catalog/291902573/detail.aspx" TargetMode="External"/><Relationship Id="rId174" Type="http://schemas.openxmlformats.org/officeDocument/2006/relationships/hyperlink" Target="https://kit.kotelnikovartifact.ru/products/braslet-zvezdnyiy-putnik-s-meteoritom-aletaiy-i-dzi-3-100336" TargetMode="External"/><Relationship Id="rId175" Type="http://schemas.openxmlformats.org/officeDocument/2006/relationships/hyperlink" Target="https://www.wildberries.ru/catalog/259678801/detail.aspx" TargetMode="External"/><Relationship Id="rId176" Type="http://schemas.openxmlformats.org/officeDocument/2006/relationships/hyperlink" Target="https://kit.kotelnikovartifact.ru/products/braslet-mudrost-buddy-s-businoiy-i-mantroiy-dlya-meditacii-3-100354" TargetMode="External"/><Relationship Id="rId177" Type="http://schemas.openxmlformats.org/officeDocument/2006/relationships/hyperlink" Target="https://www.wildberries.ru/catalog/259678801/detail.aspx" TargetMode="External"/><Relationship Id="rId178" Type="http://schemas.openxmlformats.org/officeDocument/2006/relationships/hyperlink" Target="https://kit.kotelnikovartifact.ru/products/braslet-mudrost-buddy-s-businoiy-i-mantroiy-dlya-meditacii-1-100353" TargetMode="External"/><Relationship Id="rId179" Type="http://schemas.openxmlformats.org/officeDocument/2006/relationships/hyperlink" Target="https://www.wildberries.ru/catalog/362532108/detail.aspx" TargetMode="External"/><Relationship Id="rId180" Type="http://schemas.openxmlformats.org/officeDocument/2006/relationships/hyperlink" Target="https://kit.kotelnikovartifact.ru/products/braslet-hranitel-iz-obsidiana-s-businoiy-dzi-2-glaza-100386" TargetMode="External"/><Relationship Id="rId181" Type="http://schemas.openxmlformats.org/officeDocument/2006/relationships/hyperlink" Target="https://www.wildberries.ru/catalog/303598439/detail.aspx" TargetMode="External"/><Relationship Id="rId182" Type="http://schemas.openxmlformats.org/officeDocument/2006/relationships/hyperlink" Target="https://kit.kotelnikovartifact.ru/products/braslet-vershitel-s-meteoritom-muonionalusta-i-labradoritom-3-100166" TargetMode="External"/><Relationship Id="rId183" Type="http://schemas.openxmlformats.org/officeDocument/2006/relationships/hyperlink" Target="https://www.wildberries.ru/catalog/303598439/detail.aspx" TargetMode="External"/><Relationship Id="rId184" Type="http://schemas.openxmlformats.org/officeDocument/2006/relationships/hyperlink" Target="https://kit.kotelnikovartifact.ru/products/braslet-vershitel-s-meteoritom-muonionalusta-i-labradoritom-100164" TargetMode="External"/><Relationship Id="rId185" Type="http://schemas.openxmlformats.org/officeDocument/2006/relationships/hyperlink" Target="https://www.wildberries.ru/catalog/292157496/detail.aspx" TargetMode="External"/><Relationship Id="rId186" Type="http://schemas.openxmlformats.org/officeDocument/2006/relationships/hyperlink" Target="https://kit.kotelnikovartifact.ru/products/braslet-zvyezdnyiy-mag-s-meteoritom-aletaiy-i-businoiy-dzi-100113" TargetMode="External"/><Relationship Id="rId187" Type="http://schemas.openxmlformats.org/officeDocument/2006/relationships/hyperlink" Target="https://www.wildberries.ru/catalog/292157496/detail.aspx" TargetMode="External"/><Relationship Id="rId188" Type="http://schemas.openxmlformats.org/officeDocument/2006/relationships/hyperlink" Target="https://kit.kotelnikovartifact.ru/products/braslet-zvyezdnyiy-mag-s-meteoritom-aletaiy-i-businoiy-dzi-3-100115" TargetMode="External"/><Relationship Id="rId189" Type="http://schemas.openxmlformats.org/officeDocument/2006/relationships/hyperlink" Target="https://www.wildberries.ru/catalog/561815738/detail.aspx" TargetMode="External"/><Relationship Id="rId190" Type="http://schemas.openxmlformats.org/officeDocument/2006/relationships/hyperlink" Target="https://kit.kotelnikovartifact.ru/products/braslet-nepobedimoe-solnce-s-meteoritom-aletaiy-100312" TargetMode="External"/><Relationship Id="rId191" Type="http://schemas.openxmlformats.org/officeDocument/2006/relationships/hyperlink" Target="https://www.wildberries.ru/catalog/327127352/detail.aspx" TargetMode="External"/><Relationship Id="rId192" Type="http://schemas.openxmlformats.org/officeDocument/2006/relationships/hyperlink" Target="https://kit.kotelnikovartifact.ru/products/braslet-sinergiya-s-meteoritom-aletaiy-i-labradoritom-100125" TargetMode="External"/><Relationship Id="rId193" Type="http://schemas.openxmlformats.org/officeDocument/2006/relationships/hyperlink" Target="https://www.wildberries.ru/catalog/327127352/detail.aspx" TargetMode="External"/><Relationship Id="rId194" Type="http://schemas.openxmlformats.org/officeDocument/2006/relationships/hyperlink" Target="https://kit.kotelnikovartifact.ru/products/braslet-sinergiya-s-meteoritom-aletaiy-i-labradoritom-1-100126" TargetMode="External"/><Relationship Id="rId195" Type="http://schemas.openxmlformats.org/officeDocument/2006/relationships/hyperlink" Target="https://www.wildberries.ru/catalog/327127352/detail.aspx" TargetMode="External"/><Relationship Id="rId196" Type="http://schemas.openxmlformats.org/officeDocument/2006/relationships/hyperlink" Target="https://kit.kotelnikovartifact.ru/products/braslet-sinergiya-s-meteoritom-aletaiy-i-labradoritom-2-100128" TargetMode="External"/><Relationship Id="rId197" Type="http://schemas.openxmlformats.org/officeDocument/2006/relationships/hyperlink" Target="https://www.wildberries.ru/catalog/988560742/detail.aspx" TargetMode="External"/><Relationship Id="rId198" Type="http://schemas.openxmlformats.org/officeDocument/2006/relationships/hyperlink" Target="https://kit.kotelnikovartifact.ru/products/braslet-iz-liviiyskogo-stekla-vysokogo-kachestva-100175" TargetMode="External"/><Relationship Id="rId199" Type="http://schemas.openxmlformats.org/officeDocument/2006/relationships/hyperlink" Target="https://www.wildberries.ru/catalog/988560742/detail.aspx" TargetMode="External"/><Relationship Id="rId200" Type="http://schemas.openxmlformats.org/officeDocument/2006/relationships/hyperlink" Target="https://kit.kotelnikovartifact.ru/products/braslet-iz-liviiyskogo-stekla-vysokogo-kachestva-1-100176" TargetMode="External"/><Relationship Id="rId201" Type="http://schemas.openxmlformats.org/officeDocument/2006/relationships/hyperlink" Target="https://www.wildberries.ru/catalog/988560742/detail.aspx" TargetMode="External"/><Relationship Id="rId202" Type="http://schemas.openxmlformats.org/officeDocument/2006/relationships/hyperlink" Target="https://kit.kotelnikovartifact.ru/products/braslet-iz-liviiyskogo-stekla-vysokogo-kachestva-2-100177" TargetMode="External"/><Relationship Id="rId203" Type="http://schemas.openxmlformats.org/officeDocument/2006/relationships/hyperlink" Target="https://www.wildberries.ru/catalog/258921133/detail.aspx" TargetMode="External"/><Relationship Id="rId204" Type="http://schemas.openxmlformats.org/officeDocument/2006/relationships/hyperlink" Target="https://kit.kotelnikovartifact.ru/products/braslet-iz-naturalnyh-kamneiy-15-100402" TargetMode="External"/><Relationship Id="rId205" Type="http://schemas.openxmlformats.org/officeDocument/2006/relationships/hyperlink" Target="https://www.wildberries.ru/catalog/412549464/detail.aspx" TargetMode="External"/><Relationship Id="rId206" Type="http://schemas.openxmlformats.org/officeDocument/2006/relationships/hyperlink" Target="https://kit.kotelnikovartifact.ru/products/braslet-iz-naturalnyh-kamneiy-4-100340" TargetMode="External"/><Relationship Id="rId207" Type="http://schemas.openxmlformats.org/officeDocument/2006/relationships/hyperlink" Target="https://www.wildberries.ru/catalog/432459060/detail.aspx" TargetMode="External"/><Relationship Id="rId208" Type="http://schemas.openxmlformats.org/officeDocument/2006/relationships/hyperlink" Target="https://kit.kotelnikovartifact.ru/products/braslet-iz-naturalnyh-kamneiy-7-100385" TargetMode="External"/><Relationship Id="rId209" Type="http://schemas.openxmlformats.org/officeDocument/2006/relationships/hyperlink" Target="https://www.wildberries.ru/catalog/395899421/detail.aspx" TargetMode="External"/><Relationship Id="rId210" Type="http://schemas.openxmlformats.org/officeDocument/2006/relationships/hyperlink" Target="https://kit.kotelnikovartifact.ru/products/braslet-iz-naturalnyh-kamneiy-3-100360" TargetMode="External"/><Relationship Id="rId211" Type="http://schemas.openxmlformats.org/officeDocument/2006/relationships/hyperlink" Target="https://www.wildberries.ru/catalog/391310895/detail.aspx" TargetMode="External"/><Relationship Id="rId212" Type="http://schemas.openxmlformats.org/officeDocument/2006/relationships/hyperlink" Target="https://kit.kotelnikovartifact.ru/products/braslet-iz-naturalnyh-kamneiy-1-100337" TargetMode="External"/><Relationship Id="rId213" Type="http://schemas.openxmlformats.org/officeDocument/2006/relationships/hyperlink" Target="https://www.wildberries.ru/catalog/270195576/detail.aspx" TargetMode="External"/><Relationship Id="rId214" Type="http://schemas.openxmlformats.org/officeDocument/2006/relationships/hyperlink" Target="https://kit.kotelnikovartifact.ru/products/braslet-iz-naturalnyh-kamneiy-6-100350" TargetMode="External"/><Relationship Id="rId215" Type="http://schemas.openxmlformats.org/officeDocument/2006/relationships/hyperlink" Target="https://www.wildberries.ru/catalog/267890574/detail.aspx" TargetMode="External"/><Relationship Id="rId216" Type="http://schemas.openxmlformats.org/officeDocument/2006/relationships/hyperlink" Target="https://kit.kotelnikovartifact.ru/products/braslet-iz-naturalnyh-kamneiy-100265" TargetMode="External"/><Relationship Id="rId217" Type="http://schemas.openxmlformats.org/officeDocument/2006/relationships/hyperlink" Target="https://www.wildberries.ru/catalog/305733662/detail.aspx" TargetMode="External"/><Relationship Id="rId218" Type="http://schemas.openxmlformats.org/officeDocument/2006/relationships/hyperlink" Target="https://kit.kotelnikovartifact.ru/products/braslet-iz-naturalnyh-kamneiy-2-100339" TargetMode="External"/><Relationship Id="rId219" Type="http://schemas.openxmlformats.org/officeDocument/2006/relationships/hyperlink" Target="https://www.wildberries.ru/catalog/270195576/detail.aspx" TargetMode="External"/><Relationship Id="rId220" Type="http://schemas.openxmlformats.org/officeDocument/2006/relationships/hyperlink" Target="https://kit.kotelnikovartifact.ru/products/braslet-iz-naturalnyh-kamneiy-5-100351" TargetMode="External"/><Relationship Id="rId221" Type="http://schemas.openxmlformats.org/officeDocument/2006/relationships/hyperlink" Target="https://www.wildberries.ru/catalog/575735167/detail.aspx" TargetMode="External"/><Relationship Id="rId222" Type="http://schemas.openxmlformats.org/officeDocument/2006/relationships/hyperlink" Target="https://kit.kotelnikovartifact.ru/products/braslet-iz-naturalnyh-kamneiy-s-2-likoiy-rudraksheiy-100363" TargetMode="External"/><Relationship Id="rId223" Type="http://schemas.openxmlformats.org/officeDocument/2006/relationships/hyperlink" Target="https://www.wildberries.ru/catalog/561812320/detail.aspx" TargetMode="External"/><Relationship Id="rId224" Type="http://schemas.openxmlformats.org/officeDocument/2006/relationships/hyperlink" Target="https://kit.kotelnikovartifact.ru/products/braslet-iz-naturalnyh-kamneiy-s-businami-dzi-100403" TargetMode="External"/><Relationship Id="rId225" Type="http://schemas.openxmlformats.org/officeDocument/2006/relationships/hyperlink" Target="https://www.wildberries.ru/catalog/604455438/detail.aspx" TargetMode="External"/><Relationship Id="rId226" Type="http://schemas.openxmlformats.org/officeDocument/2006/relationships/hyperlink" Target="https://kit.kotelnikovartifact.ru/products/braslet-iz-naturalnyh-kamneiy-s-businoiy-dzi-1-100252" TargetMode="External"/><Relationship Id="rId227" Type="http://schemas.openxmlformats.org/officeDocument/2006/relationships/hyperlink" Target="https://www.wildberries.ru/catalog/604455438/detail.aspx" TargetMode="External"/><Relationship Id="rId228" Type="http://schemas.openxmlformats.org/officeDocument/2006/relationships/hyperlink" Target="https://kit.kotelnikovartifact.ru/products/braslet-iz-naturalnyh-kamneiy-s-businoiy-dzi-100251" TargetMode="External"/><Relationship Id="rId229" Type="http://schemas.openxmlformats.org/officeDocument/2006/relationships/hyperlink" Target="https://www.wildberries.ru/catalog/334004727/detail.aspx" TargetMode="External"/><Relationship Id="rId230" Type="http://schemas.openxmlformats.org/officeDocument/2006/relationships/hyperlink" Target="https://kit.kotelnikovartifact.ru/products/braslet-iz-naturalnyh-kamneiy-s-businoiy-dzi-2-100381" TargetMode="External"/><Relationship Id="rId231" Type="http://schemas.openxmlformats.org/officeDocument/2006/relationships/hyperlink" Target="https://www.wildberries.ru/catalog/628342861/detail.aspx" TargetMode="External"/><Relationship Id="rId232" Type="http://schemas.openxmlformats.org/officeDocument/2006/relationships/hyperlink" Target="https://kit.kotelnikovartifact.ru/products/braslet-iz-naturalnyh-kamneiy-s-meteoritami-100316" TargetMode="External"/><Relationship Id="rId233" Type="http://schemas.openxmlformats.org/officeDocument/2006/relationships/hyperlink" Target="https://www.wildberries.ru/catalog/575978057/detail.aspx" TargetMode="External"/><Relationship Id="rId234" Type="http://schemas.openxmlformats.org/officeDocument/2006/relationships/hyperlink" Target="https://kit.kotelnikovartifact.ru/products/braslet-iz-naturalnyh-kamneiy-s-meteoritom-2-100373" TargetMode="External"/><Relationship Id="rId235" Type="http://schemas.openxmlformats.org/officeDocument/2006/relationships/hyperlink" Target="https://www.wildberries.ru/catalog/388241188/detail.aspx" TargetMode="External"/><Relationship Id="rId236" Type="http://schemas.openxmlformats.org/officeDocument/2006/relationships/hyperlink" Target="https://kit.kotelnikovartifact.ru/products/braslet-iz-naturalnyh-kamneiy-s-meteoritom-18-100394" TargetMode="External"/><Relationship Id="rId237" Type="http://schemas.openxmlformats.org/officeDocument/2006/relationships/hyperlink" Target="https://www.wildberries.ru/catalog/385908252/detail.aspx" TargetMode="External"/><Relationship Id="rId238" Type="http://schemas.openxmlformats.org/officeDocument/2006/relationships/hyperlink" Target="https://kit.kotelnikovartifact.ru/products/braslet-iz-naturalnyh-kamneiy-s-meteoritom-1-100370" TargetMode="External"/><Relationship Id="rId239" Type="http://schemas.openxmlformats.org/officeDocument/2006/relationships/hyperlink" Target="https://www.wildberries.ru/catalog/383521570/detail.aspx" TargetMode="External"/><Relationship Id="rId240" Type="http://schemas.openxmlformats.org/officeDocument/2006/relationships/hyperlink" Target="https://kit.kotelnikovartifact.ru/products/braslet-iz-naturalnyh-kamneiy-s-meteoritom-15-100380" TargetMode="External"/><Relationship Id="rId241" Type="http://schemas.openxmlformats.org/officeDocument/2006/relationships/hyperlink" Target="https://www.wildberries.ru/catalog/316205510/detail.aspx" TargetMode="External"/><Relationship Id="rId242" Type="http://schemas.openxmlformats.org/officeDocument/2006/relationships/hyperlink" Target="https://kit.kotelnikovartifact.ru/products/braslet-iz-naturalnyh-kamneiy-s-meteoritom-5-100377" TargetMode="External"/><Relationship Id="rId243" Type="http://schemas.openxmlformats.org/officeDocument/2006/relationships/hyperlink" Target="https://www.wildberries.ru/catalog/385908252/detail.aspx" TargetMode="External"/><Relationship Id="rId244" Type="http://schemas.openxmlformats.org/officeDocument/2006/relationships/hyperlink" Target="https://kit.kotelnikovartifact.ru/products/braslet-iz-naturalnyh-kamneiy-s-meteoritom-3-100371" TargetMode="External"/><Relationship Id="rId245" Type="http://schemas.openxmlformats.org/officeDocument/2006/relationships/hyperlink" Target="https://www.wildberries.ru/catalog/672452104/detail.aspx" TargetMode="External"/><Relationship Id="rId246" Type="http://schemas.openxmlformats.org/officeDocument/2006/relationships/hyperlink" Target="https://kit.kotelnikovartifact.ru/products/braslet-iz-naturalnyh-kamneiy-s-meteoritom-100281" TargetMode="External"/><Relationship Id="rId247" Type="http://schemas.openxmlformats.org/officeDocument/2006/relationships/hyperlink" Target="https://www.wildberries.ru/catalog/329028331/detail.aspx" TargetMode="External"/><Relationship Id="rId248" Type="http://schemas.openxmlformats.org/officeDocument/2006/relationships/hyperlink" Target="https://kit.kotelnikovartifact.ru/products/braslet-iz-naturalnyh-kamneiy-s-meteoritom-aletaiy-100387" TargetMode="External"/><Relationship Id="rId249" Type="http://schemas.openxmlformats.org/officeDocument/2006/relationships/hyperlink" Target="https://www.wildberries.ru/catalog/322355553/detail.aspx" TargetMode="External"/><Relationship Id="rId250" Type="http://schemas.openxmlformats.org/officeDocument/2006/relationships/hyperlink" Target="https://kit.kotelnikovartifact.ru/products/braslet-iz-naturalnyh-kamneiy-s-meteoritom-aletaiy-1-100395" TargetMode="External"/><Relationship Id="rId251" Type="http://schemas.openxmlformats.org/officeDocument/2006/relationships/hyperlink" Target="https://www.wildberries.ru/catalog/430742201/detail.aspx" TargetMode="External"/><Relationship Id="rId252" Type="http://schemas.openxmlformats.org/officeDocument/2006/relationships/hyperlink" Target="https://kit.kotelnikovartifact.ru/products/braslet-iz-naturalnyh-kamneiy-s-meteoritom-muonionalusta-1-100199" TargetMode="External"/><Relationship Id="rId253" Type="http://schemas.openxmlformats.org/officeDocument/2006/relationships/hyperlink" Target="https://www.wildberries.ru/catalog/430742201/detail.aspx" TargetMode="External"/><Relationship Id="rId254" Type="http://schemas.openxmlformats.org/officeDocument/2006/relationships/hyperlink" Target="https://kit.kotelnikovartifact.ru/products/braslet-iz-naturalnyh-kamneiy-s-meteoritom-muonionalusta-2-100200" TargetMode="External"/><Relationship Id="rId255" Type="http://schemas.openxmlformats.org/officeDocument/2006/relationships/hyperlink" Target="https://www.wildberries.ru/catalog/561830891/detail.aspx" TargetMode="External"/><Relationship Id="rId256" Type="http://schemas.openxmlformats.org/officeDocument/2006/relationships/hyperlink" Target="https://kit.kotelnikovartifact.ru/products/braslet-iz-naturalnyh-kamneiy-s-meteoritom-seiymchan-1-100383" TargetMode="External"/><Relationship Id="rId257" Type="http://schemas.openxmlformats.org/officeDocument/2006/relationships/hyperlink" Target="https://www.wildberries.ru/catalog/389408691/detail.aspx" TargetMode="External"/><Relationship Id="rId258" Type="http://schemas.openxmlformats.org/officeDocument/2006/relationships/hyperlink" Target="https://kit.kotelnikovartifact.ru/products/braslet-iz-naturalnyh-kamneiy-s-meteoritom-seiymchan-100364" TargetMode="External"/><Relationship Id="rId259" Type="http://schemas.openxmlformats.org/officeDocument/2006/relationships/hyperlink" Target="https://www.wildberries.ru/catalog/331517609/detail.aspx" TargetMode="External"/><Relationship Id="rId260" Type="http://schemas.openxmlformats.org/officeDocument/2006/relationships/hyperlink" Target="https://kit.kotelnikovartifact.ru/products/braslet-labradorit-s-meteoritom-aletaiy-sredinnyiy-put-100367" TargetMode="External"/><Relationship Id="rId261" Type="http://schemas.openxmlformats.org/officeDocument/2006/relationships/hyperlink" Target="https://www.wildberries.ru/catalog/266904445/detail.aspx" TargetMode="External"/><Relationship Id="rId262" Type="http://schemas.openxmlformats.org/officeDocument/2006/relationships/hyperlink" Target="https://kit.kotelnikovartifact.ru/products/braslet-s-businoiy-dzi-iz-liviiyskogo-stekla-1-100327" TargetMode="External"/><Relationship Id="rId263" Type="http://schemas.openxmlformats.org/officeDocument/2006/relationships/hyperlink" Target="https://www.wildberries.ru/catalog/266904445/detail.aspx" TargetMode="External"/><Relationship Id="rId264" Type="http://schemas.openxmlformats.org/officeDocument/2006/relationships/hyperlink" Target="https://kit.kotelnikovartifact.ru/products/braslet-s-businoiy-dzi-iz-liviiyskogo-stekla-100326" TargetMode="External"/><Relationship Id="rId265" Type="http://schemas.openxmlformats.org/officeDocument/2006/relationships/hyperlink" Target="https://www.wildberries.ru/catalog/561820696/detail.aspx" TargetMode="External"/><Relationship Id="rId266" Type="http://schemas.openxmlformats.org/officeDocument/2006/relationships/hyperlink" Target="https://kit.kotelnikovartifact.ru/products/braslet-s-businoiy-dzi-100298" TargetMode="External"/><Relationship Id="rId267" Type="http://schemas.openxmlformats.org/officeDocument/2006/relationships/hyperlink" Target="https://www.wildberries.ru/catalog/433795545/detail.aspx" TargetMode="External"/><Relationship Id="rId268" Type="http://schemas.openxmlformats.org/officeDocument/2006/relationships/hyperlink" Target="https://kit.kotelnikovartifact.ru/products/braslet-s-meteoritom-1-100356" TargetMode="External"/><Relationship Id="rId269" Type="http://schemas.openxmlformats.org/officeDocument/2006/relationships/hyperlink" Target="https://www.wildberries.ru/catalog/289945106/detail.aspx" TargetMode="External"/><Relationship Id="rId270" Type="http://schemas.openxmlformats.org/officeDocument/2006/relationships/hyperlink" Target="https://kit.kotelnikovartifact.ru/products/braslet-s-meteoritom-100328" TargetMode="External"/><Relationship Id="rId271" Type="http://schemas.openxmlformats.org/officeDocument/2006/relationships/hyperlink" Target="https://www.wildberries.ru/catalog/388167738/detail.aspx" TargetMode="External"/><Relationship Id="rId272" Type="http://schemas.openxmlformats.org/officeDocument/2006/relationships/hyperlink" Target="https://kit.kotelnikovartifact.ru/products/braslet-s-meteoritom-muonionalusta-100401" TargetMode="External"/><Relationship Id="rId273" Type="http://schemas.openxmlformats.org/officeDocument/2006/relationships/hyperlink" Target="https://www.wildberries.ru/catalog/318131090/detail.aspx" TargetMode="External"/><Relationship Id="rId274" Type="http://schemas.openxmlformats.org/officeDocument/2006/relationships/hyperlink" Target="https://kit.kotelnikovartifact.ru/products/braslet-s-meteoritom-seiymchan-100343" TargetMode="External"/><Relationship Id="rId275" Type="http://schemas.openxmlformats.org/officeDocument/2006/relationships/hyperlink" Target="https://www.wildberries.ru/catalog/318131090/detail.aspx" TargetMode="External"/><Relationship Id="rId276" Type="http://schemas.openxmlformats.org/officeDocument/2006/relationships/hyperlink" Target="https://kit.kotelnikovartifact.ru/products/braslet-s-meteoritom-seiymchan-1-100344" TargetMode="External"/><Relationship Id="rId277" Type="http://schemas.openxmlformats.org/officeDocument/2006/relationships/hyperlink" Target="https://www.wildberries.ru/catalog/415524446/detail.aspx" TargetMode="External"/><Relationship Id="rId278" Type="http://schemas.openxmlformats.org/officeDocument/2006/relationships/hyperlink" Target="https://kit.kotelnikovartifact.ru/products/braslet-s-moldavitom-100292" TargetMode="External"/><Relationship Id="rId279" Type="http://schemas.openxmlformats.org/officeDocument/2006/relationships/hyperlink" Target="https://www.wildberries.ru/catalog/433802528/detail.aspx" TargetMode="External"/><Relationship Id="rId280" Type="http://schemas.openxmlformats.org/officeDocument/2006/relationships/hyperlink" Target="https://kit.kotelnikovartifact.ru/products/braslet-s-naturalnymi-kamnyami-100378" TargetMode="External"/><Relationship Id="rId281" Type="http://schemas.openxmlformats.org/officeDocument/2006/relationships/hyperlink" Target="https://www.wildberries.ru/catalog/423610587/detail.aspx" TargetMode="External"/><Relationship Id="rId282" Type="http://schemas.openxmlformats.org/officeDocument/2006/relationships/hyperlink" Target="https://kit.kotelnikovartifact.ru/products/braslet-sily-s-businoiy-dzi-100357" TargetMode="External"/><Relationship Id="rId283" Type="http://schemas.openxmlformats.org/officeDocument/2006/relationships/hyperlink" Target="https://www.wildberries.ru/catalog/561823684/detail.aspx" TargetMode="External"/><Relationship Id="rId284" Type="http://schemas.openxmlformats.org/officeDocument/2006/relationships/hyperlink" Target="https://kit.kotelnikovartifact.ru/products/braslet-sily-so-staroiy-businoiy-dzi-100347" TargetMode="External"/><Relationship Id="rId285" Type="http://schemas.openxmlformats.org/officeDocument/2006/relationships/hyperlink" Target="https://www.wildberries.ru/catalog/306818299/detail.aspx" TargetMode="External"/><Relationship Id="rId286" Type="http://schemas.openxmlformats.org/officeDocument/2006/relationships/hyperlink" Target="https://kit.kotelnikovartifact.ru/products/mujskoiy-braslet-prometeiy-labradorit-s-meteoritom-aletaiy-1-100182" TargetMode="External"/><Relationship Id="rId287" Type="http://schemas.openxmlformats.org/officeDocument/2006/relationships/hyperlink" Target="https://www.wildberries.ru/catalog/710552269/detail.aspx" TargetMode="External"/><Relationship Id="rId288" Type="http://schemas.openxmlformats.org/officeDocument/2006/relationships/hyperlink" Target="https://kit.kotelnikovartifact.ru/products/mujskoiy-braslet-iz-naturalnyh-kamneiy-100262" TargetMode="External"/><Relationship Id="rId289" Type="http://schemas.openxmlformats.org/officeDocument/2006/relationships/hyperlink" Target="https://www.wildberries.ru/catalog/702062898/detail.aspx" TargetMode="External"/><Relationship Id="rId290" Type="http://schemas.openxmlformats.org/officeDocument/2006/relationships/hyperlink" Target="https://kit.kotelnikovartifact.ru/products/mujskoiy-braslet-iz-naturalnyh-kamneiy-s-meteoritom-aletaiy-3-100228" TargetMode="External"/><Relationship Id="rId291" Type="http://schemas.openxmlformats.org/officeDocument/2006/relationships/hyperlink" Target="https://www.wildberries.ru/catalog/708551888/detail.aspx" TargetMode="External"/><Relationship Id="rId292" Type="http://schemas.openxmlformats.org/officeDocument/2006/relationships/hyperlink" Target="https://kit.kotelnikovartifact.ru/products/mujskoiy-braslet-naturalnye-kamni-meteorit-aletaiy-i-dzi-100124" TargetMode="External"/><Relationship Id="rId293" Type="http://schemas.openxmlformats.org/officeDocument/2006/relationships/hyperlink" Target="https://www.wildberries.ru/catalog/578795659/detail.aspx" TargetMode="External"/><Relationship Id="rId294" Type="http://schemas.openxmlformats.org/officeDocument/2006/relationships/hyperlink" Target="https://kit.kotelnikovartifact.ru/products/kolco-iz-meteorita-muonionalusta-21-iy-razmer-100330" TargetMode="External"/><Relationship Id="rId295" Type="http://schemas.openxmlformats.org/officeDocument/2006/relationships/hyperlink" Target="https://www.wildberries.ru/catalog/445409409/detail.aspx" TargetMode="External"/><Relationship Id="rId296" Type="http://schemas.openxmlformats.org/officeDocument/2006/relationships/hyperlink" Target="https://kit.kotelnikovartifact.ru/products/kolco-mujskoe-iz-meteorita-muonionalusta-i-titana-podarok-8-100141" TargetMode="External"/><Relationship Id="rId297" Type="http://schemas.openxmlformats.org/officeDocument/2006/relationships/hyperlink" Target="https://www.wildberries.ru/catalog/445409409/detail.aspx" TargetMode="External"/><Relationship Id="rId298" Type="http://schemas.openxmlformats.org/officeDocument/2006/relationships/hyperlink" Target="https://kit.kotelnikovartifact.ru/products/kolco-mujskoe-iz-meteorita-muonionalusta-i-titana-podarok-100135" TargetMode="External"/><Relationship Id="rId299" Type="http://schemas.openxmlformats.org/officeDocument/2006/relationships/hyperlink" Target="https://www.wildberries.ru/catalog/445409409/detail.aspx" TargetMode="External"/><Relationship Id="rId300" Type="http://schemas.openxmlformats.org/officeDocument/2006/relationships/hyperlink" Target="https://kit.kotelnikovartifact.ru/products/kolco-mujskoe-iz-meteorita-muonionalusta-i-titana-podarok-1-100136" TargetMode="External"/><Relationship Id="rId301" Type="http://schemas.openxmlformats.org/officeDocument/2006/relationships/hyperlink" Target="https://www.wildberries.ru/catalog/445409409/detail.aspx" TargetMode="External"/><Relationship Id="rId302" Type="http://schemas.openxmlformats.org/officeDocument/2006/relationships/hyperlink" Target="https://kit.kotelnikovartifact.ru/products/kolco-mujskoe-iz-meteorita-muonionalusta-i-titana-podarok-3-100137" TargetMode="External"/><Relationship Id="rId303" Type="http://schemas.openxmlformats.org/officeDocument/2006/relationships/hyperlink" Target="https://www.wildberries.ru/catalog/445409409/detail.aspx" TargetMode="External"/><Relationship Id="rId304" Type="http://schemas.openxmlformats.org/officeDocument/2006/relationships/hyperlink" Target="https://kit.kotelnikovartifact.ru/products/kolco-mujskoe-iz-meteorita-muonionalusta-i-titana-podarok-7-100138" TargetMode="External"/><Relationship Id="rId305" Type="http://schemas.openxmlformats.org/officeDocument/2006/relationships/hyperlink" Target="https://www.wildberries.ru/catalog/445409409/detail.aspx" TargetMode="External"/><Relationship Id="rId306" Type="http://schemas.openxmlformats.org/officeDocument/2006/relationships/hyperlink" Target="https://kit.kotelnikovartifact.ru/products/kolco-mujskoe-iz-meteorita-muonionalusta-i-titana-podarok-6-100139" TargetMode="External"/><Relationship Id="rId307" Type="http://schemas.openxmlformats.org/officeDocument/2006/relationships/hyperlink" Target="https://www.wildberries.ru/catalog/445409409/detail.aspx" TargetMode="External"/><Relationship Id="rId308" Type="http://schemas.openxmlformats.org/officeDocument/2006/relationships/hyperlink" Target="https://kit.kotelnikovartifact.ru/products/kolco-mujskoe-iz-meteorita-muonionalusta-i-titana-podarok-2-100140" TargetMode="External"/><Relationship Id="rId309" Type="http://schemas.openxmlformats.org/officeDocument/2006/relationships/hyperlink" Target="https://www.wildberries.ru/catalog/1219210498/detail.aspx" TargetMode="External"/><Relationship Id="rId310" Type="http://schemas.openxmlformats.org/officeDocument/2006/relationships/hyperlink" Target="https://kit.kotelnikovartifact.ru/products/braslet-jenskiiy-iz-naturalnyh-kamneiy-100039" TargetMode="External"/><Relationship Id="rId311" Type="http://schemas.openxmlformats.org/officeDocument/2006/relationships/hyperlink" Target="https://www.wildberries.ru/catalog/1631024060/detail.aspx" TargetMode="External"/><Relationship Id="rId312" Type="http://schemas.openxmlformats.org/officeDocument/2006/relationships/hyperlink" Target="https://www.wildberries.ru/catalog/1041103120/detail.aspx" TargetMode="External"/><Relationship Id="rId313" Type="http://schemas.openxmlformats.org/officeDocument/2006/relationships/hyperlink" Target="https://kit.kotelnikovartifact.ru/products/braslet-iz-indoshinita-s-businoiy-dzi-naturalnye-kamni-100091" TargetMode="External"/><Relationship Id="rId314" Type="http://schemas.openxmlformats.org/officeDocument/2006/relationships/hyperlink" Target="https://www.wildberries.ru/catalog/1041907949/detail.aspx" TargetMode="External"/><Relationship Id="rId315" Type="http://schemas.openxmlformats.org/officeDocument/2006/relationships/hyperlink" Target="https://kit.kotelnikovartifact.ru/products/braslet-s-kamennym-meteoritom-nwa-i-dzi-naturalnye-kamni-100109" TargetMode="External"/><Relationship Id="rId316" Type="http://schemas.openxmlformats.org/officeDocument/2006/relationships/hyperlink" Target="https://www.wildberries.ru/catalog/1068082857/detail.aspx" TargetMode="External"/><Relationship Id="rId317" Type="http://schemas.openxmlformats.org/officeDocument/2006/relationships/hyperlink" Target="https://kit.kotelnikovartifact.ru/products/braslet-s-liviiyskim-steklom-i-staroiy-businoiy-dzi-100194" TargetMode="External"/><Relationship Id="rId318" Type="http://schemas.openxmlformats.org/officeDocument/2006/relationships/hyperlink" Target="https://www.wildberries.ru/catalog/817111827/detail.aspx" TargetMode="External"/><Relationship Id="rId319" Type="http://schemas.openxmlformats.org/officeDocument/2006/relationships/hyperlink" Target="https://kit.kotelnikovartifact.ru/products/dronino-meteorit-oskolok-71-gr-100131" TargetMode="External"/><Relationship Id="rId320" Type="http://schemas.openxmlformats.org/officeDocument/2006/relationships/hyperlink" Target="https://www.wildberries.ru/catalog/817187422/detail.aspx" TargetMode="External"/><Relationship Id="rId321" Type="http://schemas.openxmlformats.org/officeDocument/2006/relationships/hyperlink" Target="https://kit.kotelnikovartifact.ru/products/kampo-del-selo-meteorit-68-gr-100266" TargetMode="External"/><Relationship Id="rId322" Type="http://schemas.openxmlformats.org/officeDocument/2006/relationships/hyperlink" Target="https://www.wildberries.ru/catalog/1002804418/detail.aspx" TargetMode="External"/><Relationship Id="rId323" Type="http://schemas.openxmlformats.org/officeDocument/2006/relationships/hyperlink" Target="https://kit.kotelnikovartifact.ru/products/kampo-del-selo-meteorit-kollekcionnyiy-obrazec-73-gr-100202" TargetMode="External"/><Relationship Id="rId324" Type="http://schemas.openxmlformats.org/officeDocument/2006/relationships/hyperlink" Target="https://www.wildberries.ru/catalog/604445060/detail.aspx" TargetMode="External"/><Relationship Id="rId325" Type="http://schemas.openxmlformats.org/officeDocument/2006/relationships/hyperlink" Target="https://kit.kotelnikovartifact.ru/products/kollekcionnaya-figurka-iz-meteorita-budda-524-gr-100329" TargetMode="External"/><Relationship Id="rId326" Type="http://schemas.openxmlformats.org/officeDocument/2006/relationships/hyperlink" Target="https://www.wildberries.ru/catalog/574342203/detail.aspx" TargetMode="External"/><Relationship Id="rId327" Type="http://schemas.openxmlformats.org/officeDocument/2006/relationships/hyperlink" Target="https://kit.kotelnikovartifact.ru/products/kollekcionnyiy-obrazec-campo-del-cielo-v-prozrachnom-kube-100261" TargetMode="External"/><Relationship Id="rId328" Type="http://schemas.openxmlformats.org/officeDocument/2006/relationships/hyperlink" Target="https://www.wildberries.ru/catalog/699217021/detail.aspx" TargetMode="External"/><Relationship Id="rId329" Type="http://schemas.openxmlformats.org/officeDocument/2006/relationships/hyperlink" Target="https://kit.kotelnikovartifact.ru/products/kollekcionnyiy-obrazec-meteorit-campo-del-cielo-11-100183" TargetMode="External"/><Relationship Id="rId330" Type="http://schemas.openxmlformats.org/officeDocument/2006/relationships/hyperlink" Target="https://www.wildberries.ru/catalog/698914829/detail.aspx" TargetMode="External"/><Relationship Id="rId331" Type="http://schemas.openxmlformats.org/officeDocument/2006/relationships/hyperlink" Target="https://kit.kotelnikovartifact.ru/products/kollekcionnyiy-obrazec-meteorit-campo-del-cielo-2-100084" TargetMode="External"/><Relationship Id="rId332" Type="http://schemas.openxmlformats.org/officeDocument/2006/relationships/hyperlink" Target="https://www.wildberries.ru/catalog/699172683/detail.aspx" TargetMode="External"/><Relationship Id="rId333" Type="http://schemas.openxmlformats.org/officeDocument/2006/relationships/hyperlink" Target="https://kit.kotelnikovartifact.ru/products/kollekcionnyiy-obrazec-meteorit-campo-del-cielo-1-100071" TargetMode="External"/><Relationship Id="rId334" Type="http://schemas.openxmlformats.org/officeDocument/2006/relationships/hyperlink" Target="https://www.wildberries.ru/catalog/699196167/detail.aspx" TargetMode="External"/><Relationship Id="rId335" Type="http://schemas.openxmlformats.org/officeDocument/2006/relationships/hyperlink" Target="https://kit.kotelnikovartifact.ru/products/kollekcionnyiy-obrazec-meteorit-campo-del-cielo-100048" TargetMode="External"/><Relationship Id="rId336" Type="http://schemas.openxmlformats.org/officeDocument/2006/relationships/hyperlink" Target="https://www.wildberries.ru/catalog/699156637/detail.aspx" TargetMode="External"/><Relationship Id="rId337" Type="http://schemas.openxmlformats.org/officeDocument/2006/relationships/hyperlink" Target="https://kit.kotelnikovartifact.ru/products/kollekcionnyiy-obrazec-meteorit-campo-del-cielo-67-gr-100275" TargetMode="External"/><Relationship Id="rId338" Type="http://schemas.openxmlformats.org/officeDocument/2006/relationships/hyperlink" Target="https://www.wildberries.ru/catalog/699184297/detail.aspx" TargetMode="External"/><Relationship Id="rId339" Type="http://schemas.openxmlformats.org/officeDocument/2006/relationships/hyperlink" Target="https://kit.kotelnikovartifact.ru/products/kollekcionnyiy-obrazec-meteorit-campo-del-cielo-4-1-100258" TargetMode="External"/><Relationship Id="rId340" Type="http://schemas.openxmlformats.org/officeDocument/2006/relationships/hyperlink" Target="https://www.wildberries.ru/catalog/699209236/detail.aspx" TargetMode="External"/><Relationship Id="rId341" Type="http://schemas.openxmlformats.org/officeDocument/2006/relationships/hyperlink" Target="https://kit.kotelnikovartifact.ru/products/kollekcionnyiy-obrazec-meteorit-campo-del-cielo-4-100119" TargetMode="External"/><Relationship Id="rId342" Type="http://schemas.openxmlformats.org/officeDocument/2006/relationships/hyperlink" Target="https://www.wildberries.ru/catalog/597048927/detail.aspx" TargetMode="External"/><Relationship Id="rId343" Type="http://schemas.openxmlformats.org/officeDocument/2006/relationships/hyperlink" Target="https://kit.kotelnikovartifact.ru/products/kollekcionnyiy-obrazec-meteorit-dronino-194-gr-100174" TargetMode="External"/><Relationship Id="rId344" Type="http://schemas.openxmlformats.org/officeDocument/2006/relationships/hyperlink" Target="https://www.wildberries.ru/catalog/597042204/detail.aspx" TargetMode="External"/><Relationship Id="rId345" Type="http://schemas.openxmlformats.org/officeDocument/2006/relationships/hyperlink" Target="https://kit.kotelnikovartifact.ru/products/kollekcionnyiy-obrazec-meteorit-dronino-297-gr-100319" TargetMode="External"/><Relationship Id="rId346" Type="http://schemas.openxmlformats.org/officeDocument/2006/relationships/hyperlink" Target="https://www.wildberries.ru/catalog/542418030/detail.aspx" TargetMode="External"/><Relationship Id="rId347" Type="http://schemas.openxmlformats.org/officeDocument/2006/relationships/hyperlink" Target="https://kit.kotelnikovartifact.ru/products/kollekcionnyiy-obrazec-meteorit-dronino-6-100055" TargetMode="External"/><Relationship Id="rId348" Type="http://schemas.openxmlformats.org/officeDocument/2006/relationships/hyperlink" Target="https://www.wildberries.ru/catalog/447793154/detail.aspx" TargetMode="External"/><Relationship Id="rId349" Type="http://schemas.openxmlformats.org/officeDocument/2006/relationships/hyperlink" Target="https://kit.kotelnikovartifact.ru/products/kollekcionnyiy-obrazec-meteorit-sihote-alin-1-100309" TargetMode="External"/><Relationship Id="rId350" Type="http://schemas.openxmlformats.org/officeDocument/2006/relationships/hyperlink" Target="https://www.wildberries.ru/catalog/447792088/detail.aspx" TargetMode="External"/><Relationship Id="rId351" Type="http://schemas.openxmlformats.org/officeDocument/2006/relationships/hyperlink" Target="https://kit.kotelnikovartifact.ru/products/kollekcionnyiy-obrazec-meteorit-sihote-alin-7-100311" TargetMode="External"/><Relationship Id="rId352" Type="http://schemas.openxmlformats.org/officeDocument/2006/relationships/hyperlink" Target="https://www.wildberries.ru/catalog/447660878/detail.aspx" TargetMode="External"/><Relationship Id="rId353" Type="http://schemas.openxmlformats.org/officeDocument/2006/relationships/hyperlink" Target="https://kit.kotelnikovartifact.ru/products/kollekcionnyiy-obrazec-meteorit-sihote-alin-100247" TargetMode="External"/><Relationship Id="rId354" Type="http://schemas.openxmlformats.org/officeDocument/2006/relationships/hyperlink" Target="https://www.wildberries.ru/catalog/545044371/detail.aspx" TargetMode="External"/><Relationship Id="rId355" Type="http://schemas.openxmlformats.org/officeDocument/2006/relationships/hyperlink" Target="https://kit.kotelnikovartifact.ru/products/kollekcionnyiy-obrazec-meteorit-carev-7-100332" TargetMode="External"/><Relationship Id="rId356" Type="http://schemas.openxmlformats.org/officeDocument/2006/relationships/hyperlink" Target="https://www.wildberries.ru/catalog/543834982/detail.aspx" TargetMode="External"/><Relationship Id="rId357" Type="http://schemas.openxmlformats.org/officeDocument/2006/relationships/hyperlink" Target="https://kit.kotelnikovartifact.ru/products/kollekcionnyiy-obrazec-meteorit-carev-1-100234" TargetMode="External"/><Relationship Id="rId358" Type="http://schemas.openxmlformats.org/officeDocument/2006/relationships/hyperlink" Target="https://www.wildberries.ru/catalog/542426312/detail.aspx" TargetMode="External"/><Relationship Id="rId359" Type="http://schemas.openxmlformats.org/officeDocument/2006/relationships/hyperlink" Target="https://kit.kotelnikovartifact.ru/products/kollekcionnyiy-obrazec-meteorit-carev-5-100260" TargetMode="External"/><Relationship Id="rId360" Type="http://schemas.openxmlformats.org/officeDocument/2006/relationships/hyperlink" Target="https://www.wildberries.ru/catalog/568536973/detail.aspx" TargetMode="External"/><Relationship Id="rId361" Type="http://schemas.openxmlformats.org/officeDocument/2006/relationships/hyperlink" Target="https://kit.kotelnikovartifact.ru/products/kollekcionnyiy-obrazec-meteorit-carev-100220" TargetMode="External"/><Relationship Id="rId362" Type="http://schemas.openxmlformats.org/officeDocument/2006/relationships/hyperlink" Target="https://www.wildberries.ru/catalog/988315257/detail.aspx" TargetMode="External"/><Relationship Id="rId363" Type="http://schemas.openxmlformats.org/officeDocument/2006/relationships/hyperlink" Target="https://kit.kotelnikovartifact.ru/products/kulon-lik-buddy-iz-meteorita-aletaiy-amulet-obereg-reznoiy-100167" TargetMode="External"/><Relationship Id="rId364" Type="http://schemas.openxmlformats.org/officeDocument/2006/relationships/hyperlink" Target="https://www.wildberries.ru/catalog/818378370/detail.aspx" TargetMode="External"/><Relationship Id="rId365" Type="http://schemas.openxmlformats.org/officeDocument/2006/relationships/hyperlink" Target="https://kit.kotelnikovartifact.ru/products/kulon-mandjushri-iz-meteorita-aletaiy-amulet-obereg-reznoiy-100216" TargetMode="External"/><Relationship Id="rId366" Type="http://schemas.openxmlformats.org/officeDocument/2006/relationships/hyperlink" Target="https://www.wildberries.ru/catalog/859550871/detail.aspx" TargetMode="External"/><Relationship Id="rId367" Type="http://schemas.openxmlformats.org/officeDocument/2006/relationships/hyperlink" Target="https://kit.kotelnikovartifact.ru/products/kulon-nebesnyiy-tigr-iz-meteorita-aletaiy-amulet-obereg-100069" TargetMode="External"/><Relationship Id="rId368" Type="http://schemas.openxmlformats.org/officeDocument/2006/relationships/hyperlink" Target="https://www.wildberries.ru/catalog/1124717768/detail.aspx" TargetMode="External"/><Relationship Id="rId369" Type="http://schemas.openxmlformats.org/officeDocument/2006/relationships/hyperlink" Target="https://kit.kotelnikovartifact.ru/products/kulon-pi-yao-iz-meteorita-aletaiy-amulet-izobiliya-obereg-1-100110" TargetMode="External"/><Relationship Id="rId370" Type="http://schemas.openxmlformats.org/officeDocument/2006/relationships/hyperlink" Target="https://www.wildberries.ru/catalog/996711262/detail.aspx" TargetMode="External"/><Relationship Id="rId371" Type="http://schemas.openxmlformats.org/officeDocument/2006/relationships/hyperlink" Target="https://kit.kotelnikovartifact.ru/products/kulon-amulet-iz-meteorita-aletaiy-mantra-om-obereg-100172" TargetMode="External"/><Relationship Id="rId372" Type="http://schemas.openxmlformats.org/officeDocument/2006/relationships/hyperlink" Target="https://www.wildberries.ru/catalog/817158269/detail.aspx" TargetMode="External"/><Relationship Id="rId373" Type="http://schemas.openxmlformats.org/officeDocument/2006/relationships/hyperlink" Target="https://kit.kotelnikovartifact.ru/products/meteorit-dronino-jeleznyiy-obrazec-975-gr-obereg-100207" TargetMode="External"/><Relationship Id="rId374" Type="http://schemas.openxmlformats.org/officeDocument/2006/relationships/hyperlink" Target="https://www.wildberries.ru/catalog/820036956/detail.aspx" TargetMode="External"/><Relationship Id="rId375" Type="http://schemas.openxmlformats.org/officeDocument/2006/relationships/hyperlink" Target="https://kit.kotelnikovartifact.ru/products/meteorit-kampo-del-selo-obrazec-23-gr-100179" TargetMode="External"/><Relationship Id="rId376" Type="http://schemas.openxmlformats.org/officeDocument/2006/relationships/hyperlink" Target="https://www.wildberries.ru/catalog/820045170/detail.aspx" TargetMode="External"/><Relationship Id="rId377" Type="http://schemas.openxmlformats.org/officeDocument/2006/relationships/hyperlink" Target="https://kit.kotelnikovartifact.ru/products/meteorit-kampo-del-selo-jeleznyiy-obrazec-134-gr-obereg-100017" TargetMode="External"/><Relationship Id="rId378" Type="http://schemas.openxmlformats.org/officeDocument/2006/relationships/hyperlink" Target="https://www.wildberries.ru/catalog/820145017/detail.aspx" TargetMode="External"/><Relationship Id="rId379" Type="http://schemas.openxmlformats.org/officeDocument/2006/relationships/hyperlink" Target="https://kit.kotelnikovartifact.ru/products/meteorit-kampo-del-selo-jeleznyiy-obrazec-223-gr-obereg-100108" TargetMode="External"/><Relationship Id="rId380" Type="http://schemas.openxmlformats.org/officeDocument/2006/relationships/hyperlink" Target="https://www.wildberries.ru/catalog/820016486/detail.aspx" TargetMode="External"/><Relationship Id="rId381" Type="http://schemas.openxmlformats.org/officeDocument/2006/relationships/hyperlink" Target="https://kit.kotelnikovartifact.ru/products/meteorit-kampo-del-selo-jeleznyiy-obrazec-232-gr-obereg-100062" TargetMode="External"/><Relationship Id="rId382" Type="http://schemas.openxmlformats.org/officeDocument/2006/relationships/hyperlink" Target="https://www.wildberries.ru/catalog/817235298/detail.aspx" TargetMode="External"/><Relationship Id="rId383" Type="http://schemas.openxmlformats.org/officeDocument/2006/relationships/hyperlink" Target="https://kit.kotelnikovartifact.ru/products/meteorit-kampo-del-selo-jeleznyiy-obrazec-232-gr-obereg-1-100142" TargetMode="External"/><Relationship Id="rId384" Type="http://schemas.openxmlformats.org/officeDocument/2006/relationships/hyperlink" Target="https://www.wildberries.ru/catalog/826767546/detail.aspx" TargetMode="External"/><Relationship Id="rId385" Type="http://schemas.openxmlformats.org/officeDocument/2006/relationships/hyperlink" Target="https://kit.kotelnikovartifact.ru/products/meteorit-sihote-alin-89-gr-100161" TargetMode="External"/><Relationship Id="rId386" Type="http://schemas.openxmlformats.org/officeDocument/2006/relationships/hyperlink" Target="https://www.wildberries.ru/catalog/528126045/detail.aspx" TargetMode="External"/><Relationship Id="rId387" Type="http://schemas.openxmlformats.org/officeDocument/2006/relationships/hyperlink" Target="https://kit.kotelnikovartifact.ru/products/meteorit-sihote-alin-jeleznyiy-kollekcionnyiy-obrazec-100191" TargetMode="External"/><Relationship Id="rId388" Type="http://schemas.openxmlformats.org/officeDocument/2006/relationships/hyperlink" Target="https://www.wildberries.ru/catalog/826616992/detail.aspx" TargetMode="External"/><Relationship Id="rId389" Type="http://schemas.openxmlformats.org/officeDocument/2006/relationships/hyperlink" Target="https://kit.kotelnikovartifact.ru/products/meteorit-sihote-alin-jeleznyiy-obrazec-315-gr-obereg-100143" TargetMode="External"/><Relationship Id="rId390" Type="http://schemas.openxmlformats.org/officeDocument/2006/relationships/hyperlink" Target="https://www.wildberries.ru/catalog/1280392264/detail.aspx" TargetMode="External"/><Relationship Id="rId391" Type="http://schemas.openxmlformats.org/officeDocument/2006/relationships/hyperlink" Target="https://kit.kotelnikovartifact.ru/products/meteorit-sihote-alin-kollekcionnyiy-obrazec-115-gr-obereg-100076" TargetMode="External"/><Relationship Id="rId392" Type="http://schemas.openxmlformats.org/officeDocument/2006/relationships/hyperlink" Target="https://www.wildberries.ru/catalog/1137280175/detail.aspx" TargetMode="External"/><Relationship Id="rId393" Type="http://schemas.openxmlformats.org/officeDocument/2006/relationships/hyperlink" Target="https://kit.kotelnikovartifact.ru/products/meteorit-sihote-alin-kollekcionnyiy-obrazec-123-gr-obereg-100080" TargetMode="External"/><Relationship Id="rId394" Type="http://schemas.openxmlformats.org/officeDocument/2006/relationships/hyperlink" Target="https://www.wildberries.ru/catalog/1531891735/detail.aspx" TargetMode="External"/><Relationship Id="rId395" Type="http://schemas.openxmlformats.org/officeDocument/2006/relationships/hyperlink" Target="https://www.wildberries.ru/catalog/1532076295/detail.aspx" TargetMode="External"/><Relationship Id="rId396" Type="http://schemas.openxmlformats.org/officeDocument/2006/relationships/hyperlink" Target="https://www.wildberries.ru/catalog/1045666207/detail.aspx" TargetMode="External"/><Relationship Id="rId397" Type="http://schemas.openxmlformats.org/officeDocument/2006/relationships/hyperlink" Target="https://kit.kotelnikovartifact.ru/products/meteorit-sihote-alin-kollekcionnyiy-obrazec-47-gr-obereg-100219" TargetMode="External"/><Relationship Id="rId398" Type="http://schemas.openxmlformats.org/officeDocument/2006/relationships/hyperlink" Target="https://www.wildberries.ru/catalog/1045694779/detail.aspx" TargetMode="External"/><Relationship Id="rId399" Type="http://schemas.openxmlformats.org/officeDocument/2006/relationships/hyperlink" Target="https://kit.kotelnikovartifact.ru/products/meteorit-sihote-alin-kollekcionnyiy-obrazec-53-gr-obereg-100061" TargetMode="External"/><Relationship Id="rId400" Type="http://schemas.openxmlformats.org/officeDocument/2006/relationships/hyperlink" Target="https://www.wildberries.ru/catalog/1531826787/detail.aspx" TargetMode="External"/><Relationship Id="rId401" Type="http://schemas.openxmlformats.org/officeDocument/2006/relationships/hyperlink" Target="https://www.wildberries.ru/catalog/1531861502/detail.aspx" TargetMode="External"/><Relationship Id="rId402" Type="http://schemas.openxmlformats.org/officeDocument/2006/relationships/hyperlink" Target="https://www.wildberries.ru/catalog/1045721249/detail.aspx" TargetMode="External"/><Relationship Id="rId403" Type="http://schemas.openxmlformats.org/officeDocument/2006/relationships/hyperlink" Target="https://kit.kotelnikovartifact.ru/products/meteorit-sihote-alin-kollekcionnyiy-obrazec-57-gr-obereg-100205" TargetMode="External"/><Relationship Id="rId404" Type="http://schemas.openxmlformats.org/officeDocument/2006/relationships/hyperlink" Target="https://www.wildberries.ru/catalog/1531837797/detail.aspx" TargetMode="External"/><Relationship Id="rId405" Type="http://schemas.openxmlformats.org/officeDocument/2006/relationships/hyperlink" Target="https://www.wildberries.ru/catalog/1280389631/detail.aspx" TargetMode="External"/><Relationship Id="rId406" Type="http://schemas.openxmlformats.org/officeDocument/2006/relationships/hyperlink" Target="https://kit.kotelnikovartifact.ru/products/meteorit-sihote-alin-kollekcionnyiy-obrazec-76-gr-obereg-100038" TargetMode="External"/><Relationship Id="rId407" Type="http://schemas.openxmlformats.org/officeDocument/2006/relationships/hyperlink" Target="https://www.wildberries.ru/catalog/528130767/detail.aspx" TargetMode="External"/><Relationship Id="rId408" Type="http://schemas.openxmlformats.org/officeDocument/2006/relationships/hyperlink" Target="https://kit.kotelnikovartifact.ru/products/meteorit-sihote-alin-3-100296" TargetMode="External"/><Relationship Id="rId409" Type="http://schemas.openxmlformats.org/officeDocument/2006/relationships/hyperlink" Target="https://www.wildberries.ru/catalog/563068048/detail.aspx" TargetMode="External"/><Relationship Id="rId410" Type="http://schemas.openxmlformats.org/officeDocument/2006/relationships/hyperlink" Target="https://kit.kotelnikovartifact.ru/products/meteorit-carev-individualnyiy-ekzemplyar-533-gr-100056" TargetMode="External"/><Relationship Id="rId411" Type="http://schemas.openxmlformats.org/officeDocument/2006/relationships/hyperlink" Target="https://www.wildberries.ru/catalog/567297120/detail.aspx" TargetMode="External"/><Relationship Id="rId412" Type="http://schemas.openxmlformats.org/officeDocument/2006/relationships/hyperlink" Target="https://kit.kotelnikovartifact.ru/products/meteorit-carev-kollekcionnyiy-obrazec-100305" TargetMode="External"/><Relationship Id="rId413" Type="http://schemas.openxmlformats.org/officeDocument/2006/relationships/hyperlink" Target="https://www.wildberries.ru/catalog/825166552/detail.aspx" TargetMode="External"/><Relationship Id="rId414" Type="http://schemas.openxmlformats.org/officeDocument/2006/relationships/hyperlink" Target="https://kit.kotelnikovartifact.ru/products/meteorit-carev-15-gr-100152" TargetMode="External"/><Relationship Id="rId415" Type="http://schemas.openxmlformats.org/officeDocument/2006/relationships/hyperlink" Target="https://www.wildberries.ru/catalog/795164510/detail.aspx" TargetMode="External"/><Relationship Id="rId416" Type="http://schemas.openxmlformats.org/officeDocument/2006/relationships/hyperlink" Target="https://kit.kotelnikovartifact.ru/products/meteorit-carev-kamennyiy-meteorit-97-gr-100267" TargetMode="External"/><Relationship Id="rId417" Type="http://schemas.openxmlformats.org/officeDocument/2006/relationships/hyperlink" Target="https://www.wildberries.ru/catalog/795145343/detail.aspx" TargetMode="External"/><Relationship Id="rId418" Type="http://schemas.openxmlformats.org/officeDocument/2006/relationships/hyperlink" Target="https://kit.kotelnikovartifact.ru/products/meteorit-caryev-kamennyiy-kollekcionnyiy-obrazec-podarok-100057" TargetMode="External"/><Relationship Id="rId419" Type="http://schemas.openxmlformats.org/officeDocument/2006/relationships/hyperlink" Target="https://www.wildberries.ru/catalog/1124736072/detail.aspx" TargetMode="External"/><Relationship Id="rId420" Type="http://schemas.openxmlformats.org/officeDocument/2006/relationships/hyperlink" Target="https://kit.kotelnikovartifact.ru/products/meteorit-caryev-kamennyiy-obrazec-18-gr-obereg-podarok-100192" TargetMode="External"/><Relationship Id="rId421" Type="http://schemas.openxmlformats.org/officeDocument/2006/relationships/hyperlink" Target="https://www.wildberries.ru/catalog/825101724/detail.aspx" TargetMode="External"/><Relationship Id="rId422" Type="http://schemas.openxmlformats.org/officeDocument/2006/relationships/hyperlink" Target="https://kit.kotelnikovartifact.ru/products/meteorit-caryev-kamennyiy-kollekcionnyiy-obrazec-219-gr-100042" TargetMode="External"/><Relationship Id="rId423" Type="http://schemas.openxmlformats.org/officeDocument/2006/relationships/hyperlink" Target="https://www.wildberries.ru/catalog/817146071/detail.aspx" TargetMode="External"/><Relationship Id="rId424" Type="http://schemas.openxmlformats.org/officeDocument/2006/relationships/hyperlink" Target="https://kit.kotelnikovartifact.ru/products/meteorit-jeleznyiy-dronino-24-gr-100243" TargetMode="External"/><Relationship Id="rId425" Type="http://schemas.openxmlformats.org/officeDocument/2006/relationships/hyperlink" Target="https://www.wildberries.ru/catalog/820027257/detail.aspx" TargetMode="External"/><Relationship Id="rId426" Type="http://schemas.openxmlformats.org/officeDocument/2006/relationships/hyperlink" Target="https://kit.kotelnikovartifact.ru/products/meteorit-oskolok-kampo-del-selo-75-gr-100129" TargetMode="External"/><Relationship Id="rId427" Type="http://schemas.openxmlformats.org/officeDocument/2006/relationships/hyperlink" Target="https://www.wildberries.ru/catalog/1284424741/detail.aspx" TargetMode="External"/><Relationship Id="rId428" Type="http://schemas.openxmlformats.org/officeDocument/2006/relationships/hyperlink" Target="https://kit.kotelnikovartifact.ru/products/natelnyiy-krest-iz-meteorita-100095" TargetMode="External"/><Relationship Id="rId429" Type="http://schemas.openxmlformats.org/officeDocument/2006/relationships/hyperlink" Target="https://www.wildberries.ru/catalog/672460430/detail.aspx" TargetMode="External"/><Relationship Id="rId430" Type="http://schemas.openxmlformats.org/officeDocument/2006/relationships/hyperlink" Target="https://kit.kotelnikovartifact.ru/products/podveska-iz-meteorita-campo-del-cielo-10-100239" TargetMode="External"/><Relationship Id="rId431" Type="http://schemas.openxmlformats.org/officeDocument/2006/relationships/hyperlink" Target="https://www.wildberries.ru/catalog/547977238/detail.aspx" TargetMode="External"/><Relationship Id="rId432" Type="http://schemas.openxmlformats.org/officeDocument/2006/relationships/hyperlink" Target="https://kit.kotelnikovartifact.ru/products/podveska-iz-meteorita-campo-del-cielo-7-100096" TargetMode="External"/><Relationship Id="rId433" Type="http://schemas.openxmlformats.org/officeDocument/2006/relationships/hyperlink" Target="https://www.wildberries.ru/catalog/1001473240/detail.aspx" TargetMode="External"/><Relationship Id="rId434" Type="http://schemas.openxmlformats.org/officeDocument/2006/relationships/hyperlink" Target="https://kit.kotelnikovartifact.ru/products/podveska-iz-meteorita-campo-del-cielo-8-gr-100134" TargetMode="External"/><Relationship Id="rId435" Type="http://schemas.openxmlformats.org/officeDocument/2006/relationships/hyperlink" Target="https://www.wildberries.ru/catalog/1133027538/detail.aspx" TargetMode="External"/><Relationship Id="rId436" Type="http://schemas.openxmlformats.org/officeDocument/2006/relationships/hyperlink" Target="https://kit.kotelnikovartifact.ru/products/podveska-iz-meteorita-kampo-del-selo-8-gr-amulet-obereg-100184" TargetMode="External"/><Relationship Id="rId437" Type="http://schemas.openxmlformats.org/officeDocument/2006/relationships/hyperlink" Target="https://www.wildberries.ru/catalog/700375269/detail.aspx" TargetMode="External"/><Relationship Id="rId438" Type="http://schemas.openxmlformats.org/officeDocument/2006/relationships/hyperlink" Target="https://kit.kotelnikovartifact.ru/products/podveska-iz-meteorita-muonionalusta-2-100282" TargetMode="External"/><Relationship Id="rId439" Type="http://schemas.openxmlformats.org/officeDocument/2006/relationships/hyperlink" Target="https://www.wildberries.ru/catalog/691043622/detail.aspx" TargetMode="External"/><Relationship Id="rId440" Type="http://schemas.openxmlformats.org/officeDocument/2006/relationships/hyperlink" Target="https://kit.kotelnikovartifact.ru/products/podveska-iz-meteorita-muonionalusta-4-100100" TargetMode="External"/><Relationship Id="rId441" Type="http://schemas.openxmlformats.org/officeDocument/2006/relationships/hyperlink" Target="https://www.wildberries.ru/catalog/731562548/detail.aspx" TargetMode="External"/><Relationship Id="rId442" Type="http://schemas.openxmlformats.org/officeDocument/2006/relationships/hyperlink" Target="https://kit.kotelnikovartifact.ru/products/podveska-iz-meteorita-muonionalusta-100020" TargetMode="External"/><Relationship Id="rId443" Type="http://schemas.openxmlformats.org/officeDocument/2006/relationships/hyperlink" Target="https://www.wildberries.ru/catalog/811302672/detail.aspx" TargetMode="External"/><Relationship Id="rId444" Type="http://schemas.openxmlformats.org/officeDocument/2006/relationships/hyperlink" Target="https://kit.kotelnikovartifact.ru/products/podveska-melong-iz-meteorita-muonionalusta-342-gr-100090" TargetMode="External"/><Relationship Id="rId445" Type="http://schemas.openxmlformats.org/officeDocument/2006/relationships/hyperlink" Target="https://www.wildberries.ru/catalog/583796395/detail.aspx" TargetMode="External"/><Relationship Id="rId446" Type="http://schemas.openxmlformats.org/officeDocument/2006/relationships/hyperlink" Target="https://kit.kotelnikovartifact.ru/products/podveska-s-meteoritom-campo-del-cielo-10-100276" TargetMode="External"/><Relationship Id="rId447" Type="http://schemas.openxmlformats.org/officeDocument/2006/relationships/hyperlink" Target="https://www.wildberries.ru/catalog/568570243/detail.aspx" TargetMode="External"/><Relationship Id="rId448" Type="http://schemas.openxmlformats.org/officeDocument/2006/relationships/hyperlink" Target="https://kit.kotelnikovartifact.ru/products/podveska-s-meteoritom-campo-del-cielo-14-100308" TargetMode="External"/><Relationship Id="rId449" Type="http://schemas.openxmlformats.org/officeDocument/2006/relationships/hyperlink" Target="https://www.wildberries.ru/catalog/583789984/detail.aspx" TargetMode="External"/><Relationship Id="rId450" Type="http://schemas.openxmlformats.org/officeDocument/2006/relationships/hyperlink" Target="https://kit.kotelnikovartifact.ru/products/podveska-s-meteoritom-campo-del-cielo-12-100246" TargetMode="External"/><Relationship Id="rId451" Type="http://schemas.openxmlformats.org/officeDocument/2006/relationships/hyperlink" Target="https://www.wildberries.ru/catalog/583836845/detail.aspx" TargetMode="External"/><Relationship Id="rId452" Type="http://schemas.openxmlformats.org/officeDocument/2006/relationships/hyperlink" Target="https://kit.kotelnikovartifact.ru/products/podveska-s-meteoritom-campo-del-cielo-4-100185" TargetMode="External"/><Relationship Id="rId453" Type="http://schemas.openxmlformats.org/officeDocument/2006/relationships/hyperlink" Target="https://www.wildberries.ru/catalog/541382735/detail.aspx" TargetMode="External"/><Relationship Id="rId454" Type="http://schemas.openxmlformats.org/officeDocument/2006/relationships/hyperlink" Target="https://kit.kotelnikovartifact.ru/products/podveska-s-meteoritom-kampo-del-selo-15-100333" TargetMode="External"/><Relationship Id="rId455" Type="http://schemas.openxmlformats.org/officeDocument/2006/relationships/hyperlink" Target="https://www.wildberries.ru/catalog/541400165/detail.aspx" TargetMode="External"/><Relationship Id="rId456" Type="http://schemas.openxmlformats.org/officeDocument/2006/relationships/hyperlink" Target="https://kit.kotelnikovartifact.ru/products/podveska-s-meteoritom-kampo-del-selo-1-100233" TargetMode="External"/><Relationship Id="rId457" Type="http://schemas.openxmlformats.org/officeDocument/2006/relationships/hyperlink" Target="https://www.wildberries.ru/catalog/568612904/detail.aspx" TargetMode="External"/><Relationship Id="rId458" Type="http://schemas.openxmlformats.org/officeDocument/2006/relationships/hyperlink" Target="https://kit.kotelnikovartifact.ru/products/podveska-s-meteoritom-kampo-del-selo-7-100289" TargetMode="External"/><Relationship Id="rId459" Type="http://schemas.openxmlformats.org/officeDocument/2006/relationships/hyperlink" Target="https://www.wildberries.ru/catalog/988553691/detail.aspx" TargetMode="External"/><Relationship Id="rId460" Type="http://schemas.openxmlformats.org/officeDocument/2006/relationships/hyperlink" Target="https://kit.kotelnikovartifact.ru/products/reznaya-figurka-iz-liviiyskogo-stekla-100116" TargetMode="External"/><Relationship Id="rId461" Type="http://schemas.openxmlformats.org/officeDocument/2006/relationships/hyperlink" Target="https://www.wildberries.ru/catalog/699377047/detail.aspx" TargetMode="External"/><Relationship Id="rId462" Type="http://schemas.openxmlformats.org/officeDocument/2006/relationships/hyperlink" Target="https://kit.kotelnikovartifact.ru/products/tibetskaya-busina-dzi-20-glaz-100120" TargetMode="External"/><Relationship Id="rId463" Type="http://schemas.openxmlformats.org/officeDocument/2006/relationships/hyperlink" Target="https://www.wildberries.ru/catalog/988823746/detail.aspx" TargetMode="External"/><Relationship Id="rId464" Type="http://schemas.openxmlformats.org/officeDocument/2006/relationships/hyperlink" Target="https://kit.kotelnikovartifact.ru/products/figurka-pi-yao-iz-liviiyskogo-stekla-amulet-izobiliya-obereg-100085" TargetMode="External"/><Relationship Id="rId465" Type="http://schemas.openxmlformats.org/officeDocument/2006/relationships/hyperlink" Target="https://www.wildberries.ru/catalog/825089161/detail.aspx" TargetMode="External"/><Relationship Id="rId466" Type="http://schemas.openxmlformats.org/officeDocument/2006/relationships/hyperlink" Target="https://kit.kotelnikovartifact.ru/products/carev-meteorit-ekzemplyar-16-gr-100274" TargetMode="External"/><Relationship Id="rId467" Type="http://schemas.openxmlformats.org/officeDocument/2006/relationships/hyperlink" Target="https://www.wildberries.ru/catalog/825183960/detail.aspx" TargetMode="External"/><Relationship Id="rId468" Type="http://schemas.openxmlformats.org/officeDocument/2006/relationships/hyperlink" Target="https://kit.kotelnikovartifact.ru/products/carev-meteorit-kamennyiy-148-gr-100189" TargetMode="External"/><Relationship Id="rId469" Type="http://schemas.openxmlformats.org/officeDocument/2006/relationships/hyperlink" Target="https://www.wildberries.ru/catalog/699284989/detail.aspx" TargetMode="External"/><Relationship Id="rId470" Type="http://schemas.openxmlformats.org/officeDocument/2006/relationships/hyperlink" Target="https://kit.kotelnikovartifact.ru/products/busina-dzi-na-tibetskoiy-thanke-100310" TargetMode="External"/><Relationship Id="rId471" Type="http://schemas.openxmlformats.org/officeDocument/2006/relationships/hyperlink" Target="https://www.wildberries.ru/catalog/866600178/detail.aspx" TargetMode="External"/><Relationship Id="rId472" Type="http://schemas.openxmlformats.org/officeDocument/2006/relationships/hyperlink" Target="https://kit.kotelnikovartifact.ru/products/krest-mujskoiy-s-meteoritom-muonionalusta-podveska-obereg-100012" TargetMode="External"/><Relationship Id="rId473" Type="http://schemas.openxmlformats.org/officeDocument/2006/relationships/hyperlink" Target="https://www.wildberries.ru/catalog/685257465/detail.aspx" TargetMode="External"/><Relationship Id="rId474" Type="http://schemas.openxmlformats.org/officeDocument/2006/relationships/hyperlink" Target="https://kit.kotelnikovartifact.ru/products/kulon-bi-disk-iz-meteorita-aletaiy-100169" TargetMode="External"/><Relationship Id="rId475" Type="http://schemas.openxmlformats.org/officeDocument/2006/relationships/hyperlink" Target="https://www.wildberries.ru/catalog/1215042811/detail.aspx" TargetMode="External"/><Relationship Id="rId476" Type="http://schemas.openxmlformats.org/officeDocument/2006/relationships/hyperlink" Target="https://kit.kotelnikovartifact.ru/products/kulon-pi-yao-iz-meteorita-muonionalusta-100094" TargetMode="External"/><Relationship Id="rId477" Type="http://schemas.openxmlformats.org/officeDocument/2006/relationships/hyperlink" Target="https://www.wildberries.ru/catalog/678802293/detail.aspx" TargetMode="External"/><Relationship Id="rId478" Type="http://schemas.openxmlformats.org/officeDocument/2006/relationships/hyperlink" Target="https://kit.kotelnikovartifact.ru/products/kulon-jenskiiy-tibetskiiy-shchit-iz-meteorita-aletaiy-obereg-100145" TargetMode="External"/><Relationship Id="rId479" Type="http://schemas.openxmlformats.org/officeDocument/2006/relationships/hyperlink" Target="https://www.wildberries.ru/catalog/859585573/detail.aspx" TargetMode="External"/><Relationship Id="rId480" Type="http://schemas.openxmlformats.org/officeDocument/2006/relationships/hyperlink" Target="https://kit.kotelnikovartifact.ru/products/kulon-iz-meteorita-aletaiy-457-gr-100050" TargetMode="External"/><Relationship Id="rId481" Type="http://schemas.openxmlformats.org/officeDocument/2006/relationships/hyperlink" Target="https://www.wildberries.ru/catalog/795184511/detail.aspx" TargetMode="External"/><Relationship Id="rId482" Type="http://schemas.openxmlformats.org/officeDocument/2006/relationships/hyperlink" Target="https://kit.kotelnikovartifact.ru/products/meteorit-campo-del-cielo-63-gr-100072" TargetMode="External"/><Relationship Id="rId483" Type="http://schemas.openxmlformats.org/officeDocument/2006/relationships/hyperlink" Target="https://www.wildberries.ru/catalog/795190493/detail.aspx" TargetMode="External"/><Relationship Id="rId484" Type="http://schemas.openxmlformats.org/officeDocument/2006/relationships/hyperlink" Target="https://kit.kotelnikovartifact.ru/products/meteorit-campo-del-cielo-91-gr-100235" TargetMode="External"/><Relationship Id="rId485" Type="http://schemas.openxmlformats.org/officeDocument/2006/relationships/hyperlink" Target="https://www.wildberries.ru/catalog/1287091233/detail.aspx" TargetMode="External"/><Relationship Id="rId486" Type="http://schemas.openxmlformats.org/officeDocument/2006/relationships/hyperlink" Target="https://kit.kotelnikovartifact.ru/products/podveska-kosmicheskaya-udacha-s-meteoritom-muonionalusta-100087" TargetMode="External"/><Relationship Id="rId487" Type="http://schemas.openxmlformats.org/officeDocument/2006/relationships/hyperlink" Target="https://www.wildberries.ru/catalog/434077004/detail.aspx" TargetMode="External"/><Relationship Id="rId488" Type="http://schemas.openxmlformats.org/officeDocument/2006/relationships/hyperlink" Target="https://kit.kotelnikovartifact.ru/products/podveska-serdce-dvustoronnyaya-100044" TargetMode="External"/><Relationship Id="rId489" Type="http://schemas.openxmlformats.org/officeDocument/2006/relationships/hyperlink" Target="https://www.wildberries.ru/catalog/756525446/detail.aspx" TargetMode="External"/><Relationship Id="rId490" Type="http://schemas.openxmlformats.org/officeDocument/2006/relationships/hyperlink" Target="https://kit.kotelnikovartifact.ru/products/podveska-taiyczi-in-yan-s-meteoritom-aletaiy-100299" TargetMode="External"/><Relationship Id="rId491" Type="http://schemas.openxmlformats.org/officeDocument/2006/relationships/hyperlink" Target="https://www.wildberries.ru/catalog/452740509/detail.aspx" TargetMode="External"/><Relationship Id="rId492" Type="http://schemas.openxmlformats.org/officeDocument/2006/relationships/hyperlink" Target="https://kit.kotelnikovartifact.ru/products/podveska-busina-dzi-iz-naturalnogo-agata-100098" TargetMode="External"/><Relationship Id="rId493" Type="http://schemas.openxmlformats.org/officeDocument/2006/relationships/hyperlink" Target="https://www.wildberries.ru/catalog/434100575/detail.aspx" TargetMode="External"/><Relationship Id="rId494" Type="http://schemas.openxmlformats.org/officeDocument/2006/relationships/hyperlink" Target="https://kit.kotelnikovartifact.ru/products/podveska-dzi-iz-meteorita-100314" TargetMode="External"/><Relationship Id="rId495" Type="http://schemas.openxmlformats.org/officeDocument/2006/relationships/hyperlink" Target="https://www.wildberries.ru/catalog/1214969106/detail.aspx" TargetMode="External"/><Relationship Id="rId496" Type="http://schemas.openxmlformats.org/officeDocument/2006/relationships/hyperlink" Target="https://kit.kotelnikovartifact.ru/products/podveska-merkaba-s-meteoritom-muonionalusta-100018" TargetMode="External"/><Relationship Id="rId497" Type="http://schemas.openxmlformats.org/officeDocument/2006/relationships/hyperlink" Target="https://www.wildberries.ru/catalog/676688948/detail.aspx" TargetMode="External"/><Relationship Id="rId498" Type="http://schemas.openxmlformats.org/officeDocument/2006/relationships/hyperlink" Target="https://kit.kotelnikovartifact.ru/products/podveska-nepobedimoe-solnce-s-meteoritom-100156" TargetMode="External"/><Relationship Id="rId499" Type="http://schemas.openxmlformats.org/officeDocument/2006/relationships/hyperlink" Target="https://www.wildberries.ru/catalog/635576126/detail.aspx" TargetMode="External"/><Relationship Id="rId500" Type="http://schemas.openxmlformats.org/officeDocument/2006/relationships/hyperlink" Target="https://kit.kotelnikovartifact.ru/products/podveska-shestikonechnaya-zvezda-s-meteoritom-100186" TargetMode="External"/><Relationship Id="rId501" Type="http://schemas.openxmlformats.org/officeDocument/2006/relationships/hyperlink" Target="https://www.wildberries.ru/catalog/311722013/detail.aspx" TargetMode="External"/><Relationship Id="rId502" Type="http://schemas.openxmlformats.org/officeDocument/2006/relationships/hyperlink" Target="https://kit.kotelnikovartifact.ru/products/podveska-busina-dzi-15-glaz-100277" TargetMode="External"/><Relationship Id="rId503" Type="http://schemas.openxmlformats.org/officeDocument/2006/relationships/hyperlink" Target="https://www.wildberries.ru/catalog/1287019038/detail.aspx" TargetMode="External"/><Relationship Id="rId504" Type="http://schemas.openxmlformats.org/officeDocument/2006/relationships/hyperlink" Target="https://kit.kotelnikovartifact.ru/products/podveska-jenskaya-siyanie-s-meteoritom-muonionalusta-obereg-100032" TargetMode="External"/><Relationship Id="rId505" Type="http://schemas.openxmlformats.org/officeDocument/2006/relationships/hyperlink" Target="https://www.wildberries.ru/catalog/387711805/detail.aspx" TargetMode="External"/><Relationship Id="rId506" Type="http://schemas.openxmlformats.org/officeDocument/2006/relationships/hyperlink" Target="https://kit.kotelnikovartifact.ru/products/podveska-jenskaya-siyanie-s-meteoritom-muonionalusta-obereg-1-100045" TargetMode="External"/><Relationship Id="rId507" Type="http://schemas.openxmlformats.org/officeDocument/2006/relationships/hyperlink" Target="https://www.wildberries.ru/catalog/1002814727/detail.aspx" TargetMode="External"/><Relationship Id="rId508" Type="http://schemas.openxmlformats.org/officeDocument/2006/relationships/hyperlink" Target="https://kit.kotelnikovartifact.ru/products/podveska-iz-meteorit-kampo-del-selo-100034" TargetMode="External"/><Relationship Id="rId509" Type="http://schemas.openxmlformats.org/officeDocument/2006/relationships/hyperlink" Target="https://www.wildberries.ru/catalog/505162123/detail.aspx" TargetMode="External"/><Relationship Id="rId510" Type="http://schemas.openxmlformats.org/officeDocument/2006/relationships/hyperlink" Target="https://kit.kotelnikovartifact.ru/products/podveska-iz-meteorita-100315" TargetMode="External"/><Relationship Id="rId511" Type="http://schemas.openxmlformats.org/officeDocument/2006/relationships/hyperlink" Target="https://www.wildberries.ru/catalog/863699168/detail.aspx" TargetMode="External"/><Relationship Id="rId512" Type="http://schemas.openxmlformats.org/officeDocument/2006/relationships/hyperlink" Target="https://kit.kotelnikovartifact.ru/products/podveska-iz-meteorita-campo-del-cielo-64-gr-100154" TargetMode="External"/><Relationship Id="rId513" Type="http://schemas.openxmlformats.org/officeDocument/2006/relationships/hyperlink" Target="https://www.wildberries.ru/catalog/451738841/detail.aspx" TargetMode="External"/><Relationship Id="rId514" Type="http://schemas.openxmlformats.org/officeDocument/2006/relationships/hyperlink" Target="https://kit.kotelnikovartifact.ru/products/podveska-iz-meteorita-campo-del-cielo-14-100269" TargetMode="External"/><Relationship Id="rId515" Type="http://schemas.openxmlformats.org/officeDocument/2006/relationships/hyperlink" Target="https://www.wildberries.ru/catalog/451740430/detail.aspx" TargetMode="External"/><Relationship Id="rId516" Type="http://schemas.openxmlformats.org/officeDocument/2006/relationships/hyperlink" Target="https://kit.kotelnikovartifact.ru/products/podveska-iz-meteorita-campo-del-cielo-4-100132" TargetMode="External"/><Relationship Id="rId517" Type="http://schemas.openxmlformats.org/officeDocument/2006/relationships/hyperlink" Target="https://www.wildberries.ru/catalog/710279007/detail.aspx" TargetMode="External"/><Relationship Id="rId518" Type="http://schemas.openxmlformats.org/officeDocument/2006/relationships/hyperlink" Target="https://kit.kotelnikovartifact.ru/products/podveska-iz-meteorita-campo-del-cielo-15-100297" TargetMode="External"/><Relationship Id="rId519" Type="http://schemas.openxmlformats.org/officeDocument/2006/relationships/hyperlink" Target="https://www.wildberries.ru/catalog/710259288/detail.aspx" TargetMode="External"/><Relationship Id="rId520" Type="http://schemas.openxmlformats.org/officeDocument/2006/relationships/hyperlink" Target="https://kit.kotelnikovartifact.ru/products/podveska-iz-meteorita-campo-del-cielo-6-100097" TargetMode="External"/><Relationship Id="rId521" Type="http://schemas.openxmlformats.org/officeDocument/2006/relationships/hyperlink" Target="https://www.wildberries.ru/catalog/505155691/detail.aspx" TargetMode="External"/><Relationship Id="rId522" Type="http://schemas.openxmlformats.org/officeDocument/2006/relationships/hyperlink" Target="https://kit.kotelnikovartifact.ru/products/podveska-iz-meteorita-campo-del-cielo-11-100287" TargetMode="External"/><Relationship Id="rId523" Type="http://schemas.openxmlformats.org/officeDocument/2006/relationships/hyperlink" Target="https://www.wildberries.ru/catalog/547982686/detail.aspx" TargetMode="External"/><Relationship Id="rId524" Type="http://schemas.openxmlformats.org/officeDocument/2006/relationships/hyperlink" Target="https://kit.kotelnikovartifact.ru/products/podveska-iz-meteorita-campo-del-cielo-1-100054" TargetMode="External"/><Relationship Id="rId525" Type="http://schemas.openxmlformats.org/officeDocument/2006/relationships/hyperlink" Target="https://www.wildberries.ru/catalog/710291050/detail.aspx" TargetMode="External"/><Relationship Id="rId526" Type="http://schemas.openxmlformats.org/officeDocument/2006/relationships/hyperlink" Target="https://kit.kotelnikovartifact.ru/products/podveska-iz-meteorita-campo-del-cielo-100036" TargetMode="External"/><Relationship Id="rId527" Type="http://schemas.openxmlformats.org/officeDocument/2006/relationships/hyperlink" Target="https://www.wildberries.ru/catalog/548011281/detail.aspx" TargetMode="External"/><Relationship Id="rId528" Type="http://schemas.openxmlformats.org/officeDocument/2006/relationships/hyperlink" Target="https://kit.kotelnikovartifact.ru/products/podveska-iz-meteorita-campo-del-cielo-2-100073" TargetMode="External"/><Relationship Id="rId529" Type="http://schemas.openxmlformats.org/officeDocument/2006/relationships/hyperlink" Target="https://www.wildberries.ru/catalog/710234014/detail.aspx" TargetMode="External"/><Relationship Id="rId530" Type="http://schemas.openxmlformats.org/officeDocument/2006/relationships/hyperlink" Target="https://kit.kotelnikovartifact.ru/products/podveska-iz-meteorita-campo-del-cielo-3-100068" TargetMode="External"/><Relationship Id="rId531" Type="http://schemas.openxmlformats.org/officeDocument/2006/relationships/hyperlink" Target="https://www.wildberries.ru/catalog/505159603/detail.aspx" TargetMode="External"/><Relationship Id="rId532" Type="http://schemas.openxmlformats.org/officeDocument/2006/relationships/hyperlink" Target="https://kit.kotelnikovartifact.ru/products/podveska-iz-meteorita-campo-del-cielo-5-100249" TargetMode="External"/><Relationship Id="rId533" Type="http://schemas.openxmlformats.org/officeDocument/2006/relationships/hyperlink" Target="https://www.wildberries.ru/catalog/795195057/detail.aspx" TargetMode="External"/><Relationship Id="rId534" Type="http://schemas.openxmlformats.org/officeDocument/2006/relationships/hyperlink" Target="https://kit.kotelnikovartifact.ru/products/podveska-iz-meteorita-campo-del-cielo-86-gr-100236" TargetMode="External"/><Relationship Id="rId535" Type="http://schemas.openxmlformats.org/officeDocument/2006/relationships/hyperlink" Target="https://www.wildberries.ru/catalog/391256768/detail.aspx" TargetMode="External"/><Relationship Id="rId536" Type="http://schemas.openxmlformats.org/officeDocument/2006/relationships/hyperlink" Target="https://kit.kotelnikovartifact.ru/products/podveska-iz-meteorita-campo-del-sielo-1-100043" TargetMode="External"/><Relationship Id="rId537" Type="http://schemas.openxmlformats.org/officeDocument/2006/relationships/hyperlink" Target="https://www.wildberries.ru/catalog/390775378/detail.aspx" TargetMode="External"/><Relationship Id="rId538" Type="http://schemas.openxmlformats.org/officeDocument/2006/relationships/hyperlink" Target="https://kit.kotelnikovartifact.ru/products/podveska-iz-meteorita-campo-del-sielo-100033" TargetMode="External"/><Relationship Id="rId539" Type="http://schemas.openxmlformats.org/officeDocument/2006/relationships/hyperlink" Target="https://www.wildberries.ru/catalog/676669459/detail.aspx" TargetMode="External"/><Relationship Id="rId540" Type="http://schemas.openxmlformats.org/officeDocument/2006/relationships/hyperlink" Target="https://kit.kotelnikovartifact.ru/products/podveska-iz-meteorita-aletaiy-100086" TargetMode="External"/><Relationship Id="rId541" Type="http://schemas.openxmlformats.org/officeDocument/2006/relationships/hyperlink" Target="https://www.wildberries.ru/catalog/710270178/detail.aspx" TargetMode="External"/><Relationship Id="rId542" Type="http://schemas.openxmlformats.org/officeDocument/2006/relationships/hyperlink" Target="https://kit.kotelnikovartifact.ru/products/podveska-iz-meteorita-kampo-del-selo-2-100088" TargetMode="External"/><Relationship Id="rId543" Type="http://schemas.openxmlformats.org/officeDocument/2006/relationships/hyperlink" Target="https://www.wildberries.ru/catalog/710251303/detail.aspx" TargetMode="External"/><Relationship Id="rId544" Type="http://schemas.openxmlformats.org/officeDocument/2006/relationships/hyperlink" Target="https://kit.kotelnikovartifact.ru/products/podveska-iz-meteorita-kampo-del-selo-100022" TargetMode="External"/><Relationship Id="rId545" Type="http://schemas.openxmlformats.org/officeDocument/2006/relationships/hyperlink" Target="https://www.wildberries.ru/catalog/863685769/detail.aspx" TargetMode="External"/><Relationship Id="rId546" Type="http://schemas.openxmlformats.org/officeDocument/2006/relationships/hyperlink" Target="https://kit.kotelnikovartifact.ru/products/podveska-iz-meteorita-kampo-del-selo-76-gr-100187" TargetMode="External"/><Relationship Id="rId547" Type="http://schemas.openxmlformats.org/officeDocument/2006/relationships/hyperlink" Target="https://www.wildberries.ru/catalog/412522006/detail.aspx" TargetMode="External"/><Relationship Id="rId548" Type="http://schemas.openxmlformats.org/officeDocument/2006/relationships/hyperlink" Target="https://kit.kotelnikovartifact.ru/products/podveska-iz-meteorita-kampo-del-selo-6-100188" TargetMode="External"/><Relationship Id="rId549" Type="http://schemas.openxmlformats.org/officeDocument/2006/relationships/hyperlink" Target="https://www.wildberries.ru/catalog/329457590/detail.aspx" TargetMode="External"/><Relationship Id="rId550" Type="http://schemas.openxmlformats.org/officeDocument/2006/relationships/hyperlink" Target="https://kit.kotelnikovartifact.ru/products/podveska-iz-meteorita-kampo-del-selo-3-100078" TargetMode="External"/><Relationship Id="rId551" Type="http://schemas.openxmlformats.org/officeDocument/2006/relationships/hyperlink" Target="https://www.wildberries.ru/catalog/379033530/detail.aspx" TargetMode="External"/><Relationship Id="rId552" Type="http://schemas.openxmlformats.org/officeDocument/2006/relationships/hyperlink" Target="https://kit.kotelnikovartifact.ru/products/podveska-iz-meteorita-kampo-del-selo-1-100029" TargetMode="External"/><Relationship Id="rId553" Type="http://schemas.openxmlformats.org/officeDocument/2006/relationships/hyperlink" Target="https://www.wildberries.ru/catalog/391234681/detail.aspx" TargetMode="External"/><Relationship Id="rId554" Type="http://schemas.openxmlformats.org/officeDocument/2006/relationships/hyperlink" Target="https://kit.kotelnikovartifact.ru/products/podveska-iz-meteorita-kampo-del-selo-5-100256" TargetMode="External"/><Relationship Id="rId555" Type="http://schemas.openxmlformats.org/officeDocument/2006/relationships/hyperlink" Target="https://www.wildberries.ru/catalog/390788462/detail.aspx" TargetMode="External"/><Relationship Id="rId556" Type="http://schemas.openxmlformats.org/officeDocument/2006/relationships/hyperlink" Target="https://kit.kotelnikovartifact.ru/products/podveska-iz-meteorita-kampo-del-selo-13-100263" TargetMode="External"/><Relationship Id="rId557" Type="http://schemas.openxmlformats.org/officeDocument/2006/relationships/hyperlink" Target="https://www.wildberries.ru/catalog/378297543/detail.aspx" TargetMode="External"/><Relationship Id="rId558" Type="http://schemas.openxmlformats.org/officeDocument/2006/relationships/hyperlink" Target="https://kit.kotelnikovartifact.ru/products/podveska-iz-meteorita-muonionalusta-1-100075" TargetMode="External"/><Relationship Id="rId559" Type="http://schemas.openxmlformats.org/officeDocument/2006/relationships/hyperlink" Target="https://www.wildberries.ru/catalog/434097996/detail.aspx" TargetMode="External"/><Relationship Id="rId560" Type="http://schemas.openxmlformats.org/officeDocument/2006/relationships/hyperlink" Target="https://kit.kotelnikovartifact.ru/products/podveska-iz-meteorita-muonionalusta-6-100293" TargetMode="External"/><Relationship Id="rId561" Type="http://schemas.openxmlformats.org/officeDocument/2006/relationships/hyperlink" Target="https://www.wildberries.ru/catalog/378980050/detail.aspx" TargetMode="External"/><Relationship Id="rId562" Type="http://schemas.openxmlformats.org/officeDocument/2006/relationships/hyperlink" Target="https://kit.kotelnikovartifact.ru/products/podveska-iz-meteorita-sericho-100301" TargetMode="External"/><Relationship Id="rId563" Type="http://schemas.openxmlformats.org/officeDocument/2006/relationships/hyperlink" Target="https://www.wildberries.ru/catalog/446638621/detail.aspx" TargetMode="External"/><Relationship Id="rId564" Type="http://schemas.openxmlformats.org/officeDocument/2006/relationships/hyperlink" Target="https://kit.kotelnikovartifact.ru/products/podveska-iz-meteorita-sihote-alin-3-100059" TargetMode="External"/><Relationship Id="rId565" Type="http://schemas.openxmlformats.org/officeDocument/2006/relationships/hyperlink" Target="https://www.wildberries.ru/catalog/679811425/detail.aspx" TargetMode="External"/><Relationship Id="rId566" Type="http://schemas.openxmlformats.org/officeDocument/2006/relationships/hyperlink" Target="https://kit.kotelnikovartifact.ru/products/podveska-iz-meteorita-sihote-alin-6-100117" TargetMode="External"/><Relationship Id="rId567" Type="http://schemas.openxmlformats.org/officeDocument/2006/relationships/hyperlink" Target="https://www.wildberries.ru/catalog/541346062/detail.aspx" TargetMode="External"/><Relationship Id="rId568" Type="http://schemas.openxmlformats.org/officeDocument/2006/relationships/hyperlink" Target="https://kit.kotelnikovartifact.ru/products/podveska-iz-meteorita-sihote-alin-14-100376" TargetMode="External"/><Relationship Id="rId569" Type="http://schemas.openxmlformats.org/officeDocument/2006/relationships/hyperlink" Target="https://www.wildberries.ru/catalog/711978621/detail.aspx" TargetMode="External"/><Relationship Id="rId570" Type="http://schemas.openxmlformats.org/officeDocument/2006/relationships/hyperlink" Target="https://kit.kotelnikovartifact.ru/products/podveska-iz-meteorita-sihote-alin-2-100065" TargetMode="External"/><Relationship Id="rId571" Type="http://schemas.openxmlformats.org/officeDocument/2006/relationships/hyperlink" Target="https://www.wildberries.ru/catalog/541309480/detail.aspx" TargetMode="External"/><Relationship Id="rId572" Type="http://schemas.openxmlformats.org/officeDocument/2006/relationships/hyperlink" Target="https://kit.kotelnikovartifact.ru/products/podveska-iz-meteorita-sihote-alin-7-100171" TargetMode="External"/><Relationship Id="rId573" Type="http://schemas.openxmlformats.org/officeDocument/2006/relationships/hyperlink" Target="https://www.wildberries.ru/catalog/731559604/detail.aspx" TargetMode="External"/><Relationship Id="rId574" Type="http://schemas.openxmlformats.org/officeDocument/2006/relationships/hyperlink" Target="https://kit.kotelnikovartifact.ru/products/podveska-iz-meteorita-sihote-alin-100019" TargetMode="External"/><Relationship Id="rId575" Type="http://schemas.openxmlformats.org/officeDocument/2006/relationships/hyperlink" Target="https://www.wildberries.ru/catalog/444107775/detail.aspx" TargetMode="External"/><Relationship Id="rId576" Type="http://schemas.openxmlformats.org/officeDocument/2006/relationships/hyperlink" Target="https://kit.kotelnikovartifact.ru/products/podveska-iz-meteorita-sihote-alin-5-100321" TargetMode="External"/><Relationship Id="rId577" Type="http://schemas.openxmlformats.org/officeDocument/2006/relationships/hyperlink" Target="https://www.wildberries.ru/catalog/541292582/detail.aspx" TargetMode="External"/><Relationship Id="rId578" Type="http://schemas.openxmlformats.org/officeDocument/2006/relationships/hyperlink" Target="https://kit.kotelnikovartifact.ru/products/podveska-iz-meteorita-sihote-alin-4-100279" TargetMode="External"/><Relationship Id="rId579" Type="http://schemas.openxmlformats.org/officeDocument/2006/relationships/hyperlink" Target="https://www.wildberries.ru/catalog/679816837/detail.aspx" TargetMode="External"/><Relationship Id="rId580" Type="http://schemas.openxmlformats.org/officeDocument/2006/relationships/hyperlink" Target="https://kit.kotelnikovartifact.ru/products/podveska-iz-meteorita-sihote-alin-1-100025" TargetMode="External"/><Relationship Id="rId581" Type="http://schemas.openxmlformats.org/officeDocument/2006/relationships/hyperlink" Target="https://www.wildberries.ru/catalog/685264731/detail.aspx" TargetMode="External"/><Relationship Id="rId582" Type="http://schemas.openxmlformats.org/officeDocument/2006/relationships/hyperlink" Target="https://kit.kotelnikovartifact.ru/products/podveska-iz-meteorita-sihote-alin-2-1-100323" TargetMode="External"/><Relationship Id="rId583" Type="http://schemas.openxmlformats.org/officeDocument/2006/relationships/hyperlink" Target="https://www.wildberries.ru/catalog/574242346/detail.aspx" TargetMode="External"/><Relationship Id="rId584" Type="http://schemas.openxmlformats.org/officeDocument/2006/relationships/hyperlink" Target="https://kit.kotelnikovartifact.ru/products/podveska-iz-hotanskogo-nefrita-dzi-9-glaz-100023" TargetMode="External"/><Relationship Id="rId585" Type="http://schemas.openxmlformats.org/officeDocument/2006/relationships/hyperlink" Target="https://www.wildberries.ru/catalog/288115269/detail.aspx" TargetMode="External"/><Relationship Id="rId586" Type="http://schemas.openxmlformats.org/officeDocument/2006/relationships/hyperlink" Target="https://kit.kotelnikovartifact.ru/products/podveska-s-meteoritom-4-100244" TargetMode="External"/><Relationship Id="rId587" Type="http://schemas.openxmlformats.org/officeDocument/2006/relationships/hyperlink" Target="https://www.wildberries.ru/catalog/465707809/detail.aspx" TargetMode="External"/><Relationship Id="rId588" Type="http://schemas.openxmlformats.org/officeDocument/2006/relationships/hyperlink" Target="https://kit.kotelnikovartifact.ru/products/podveska-s-meteoritom-1-100058" TargetMode="External"/><Relationship Id="rId589" Type="http://schemas.openxmlformats.org/officeDocument/2006/relationships/hyperlink" Target="https://www.wildberries.ru/catalog/547989081/detail.aspx" TargetMode="External"/><Relationship Id="rId590" Type="http://schemas.openxmlformats.org/officeDocument/2006/relationships/hyperlink" Target="https://kit.kotelnikovartifact.ru/products/podveska-s-meteoritom-7-100278" TargetMode="External"/><Relationship Id="rId591" Type="http://schemas.openxmlformats.org/officeDocument/2006/relationships/hyperlink" Target="https://www.wildberries.ru/catalog/548003149/detail.aspx" TargetMode="External"/><Relationship Id="rId592" Type="http://schemas.openxmlformats.org/officeDocument/2006/relationships/hyperlink" Target="https://kit.kotelnikovartifact.ru/products/podveska-s-meteoritom-5-100325" TargetMode="External"/><Relationship Id="rId593" Type="http://schemas.openxmlformats.org/officeDocument/2006/relationships/hyperlink" Target="https://www.wildberries.ru/catalog/541393087/detail.aspx" TargetMode="External"/><Relationship Id="rId594" Type="http://schemas.openxmlformats.org/officeDocument/2006/relationships/hyperlink" Target="https://kit.kotelnikovartifact.ru/products/podveska-s-meteoritom-3-100270" TargetMode="External"/><Relationship Id="rId595" Type="http://schemas.openxmlformats.org/officeDocument/2006/relationships/hyperlink" Target="https://www.wildberries.ru/catalog/420796977/detail.aspx" TargetMode="External"/><Relationship Id="rId596" Type="http://schemas.openxmlformats.org/officeDocument/2006/relationships/hyperlink" Target="https://kit.kotelnikovartifact.ru/products/podveska-s-meteoritom-8-100280" TargetMode="External"/><Relationship Id="rId597" Type="http://schemas.openxmlformats.org/officeDocument/2006/relationships/hyperlink" Target="https://www.wildberries.ru/catalog/795177138/detail.aspx" TargetMode="External"/><Relationship Id="rId598" Type="http://schemas.openxmlformats.org/officeDocument/2006/relationships/hyperlink" Target="https://kit.kotelnikovartifact.ru/products/podveska-s-meteoritom-campo-73-gr-100295" TargetMode="External"/><Relationship Id="rId599" Type="http://schemas.openxmlformats.org/officeDocument/2006/relationships/hyperlink" Target="https://www.wildberries.ru/catalog/465705373/detail.aspx" TargetMode="External"/><Relationship Id="rId600" Type="http://schemas.openxmlformats.org/officeDocument/2006/relationships/hyperlink" Target="https://kit.kotelnikovartifact.ru/products/podveska-s-meteoritom-campo-del-cielo-26-100320" TargetMode="External"/><Relationship Id="rId601" Type="http://schemas.openxmlformats.org/officeDocument/2006/relationships/hyperlink" Target="https://www.wildberries.ru/catalog/505500840/detail.aspx" TargetMode="External"/><Relationship Id="rId602" Type="http://schemas.openxmlformats.org/officeDocument/2006/relationships/hyperlink" Target="https://kit.kotelnikovartifact.ru/products/podveska-s-meteoritom-campo-del-cielo-2-100203" TargetMode="External"/><Relationship Id="rId603" Type="http://schemas.openxmlformats.org/officeDocument/2006/relationships/hyperlink" Target="https://www.wildberries.ru/catalog/548017962/detail.aspx" TargetMode="External"/><Relationship Id="rId604" Type="http://schemas.openxmlformats.org/officeDocument/2006/relationships/hyperlink" Target="https://kit.kotelnikovartifact.ru/products/podveska-s-meteoritom-campo-del-cielo-22-100300" TargetMode="External"/><Relationship Id="rId605" Type="http://schemas.openxmlformats.org/officeDocument/2006/relationships/hyperlink" Target="https://www.wildberries.ru/catalog/568598945/detail.aspx" TargetMode="External"/><Relationship Id="rId606" Type="http://schemas.openxmlformats.org/officeDocument/2006/relationships/hyperlink" Target="https://kit.kotelnikovartifact.ru/products/podveska-s-meteoritom-campo-del-cielo-13-100283" TargetMode="External"/><Relationship Id="rId607" Type="http://schemas.openxmlformats.org/officeDocument/2006/relationships/hyperlink" Target="https://www.wildberries.ru/catalog/584969395/detail.aspx" TargetMode="External"/><Relationship Id="rId608" Type="http://schemas.openxmlformats.org/officeDocument/2006/relationships/hyperlink" Target="https://kit.kotelnikovartifact.ru/products/podveska-s-meteoritom-campo-del-cielo-5-100153" TargetMode="External"/><Relationship Id="rId609" Type="http://schemas.openxmlformats.org/officeDocument/2006/relationships/hyperlink" Target="https://www.wildberries.ru/catalog/430736233/detail.aspx" TargetMode="External"/><Relationship Id="rId610" Type="http://schemas.openxmlformats.org/officeDocument/2006/relationships/hyperlink" Target="https://kit.kotelnikovartifact.ru/products/podveska-s-meteoritom-campo-del-cielo-6-100157" TargetMode="External"/><Relationship Id="rId611" Type="http://schemas.openxmlformats.org/officeDocument/2006/relationships/hyperlink" Target="https://www.wildberries.ru/catalog/583831016/detail.aspx" TargetMode="External"/><Relationship Id="rId612" Type="http://schemas.openxmlformats.org/officeDocument/2006/relationships/hyperlink" Target="https://kit.kotelnikovartifact.ru/products/podveska-s-meteoritom-campo-del-cielo-39-100318" TargetMode="External"/><Relationship Id="rId613" Type="http://schemas.openxmlformats.org/officeDocument/2006/relationships/hyperlink" Target="https://www.wildberries.ru/catalog/505524639/detail.aspx" TargetMode="External"/><Relationship Id="rId614" Type="http://schemas.openxmlformats.org/officeDocument/2006/relationships/hyperlink" Target="https://kit.kotelnikovartifact.ru/products/podveska-s-meteoritom-campo-del-cielo-24-100322" TargetMode="External"/><Relationship Id="rId615" Type="http://schemas.openxmlformats.org/officeDocument/2006/relationships/hyperlink" Target="https://www.wildberries.ru/catalog/568589946/detail.aspx" TargetMode="External"/><Relationship Id="rId616" Type="http://schemas.openxmlformats.org/officeDocument/2006/relationships/hyperlink" Target="https://kit.kotelnikovartifact.ru/products/podveska-s-meteoritom-campo-del-cielo-8-100355" TargetMode="External"/><Relationship Id="rId617" Type="http://schemas.openxmlformats.org/officeDocument/2006/relationships/hyperlink" Target="https://www.wildberries.ru/catalog/505176525/detail.aspx" TargetMode="External"/><Relationship Id="rId618" Type="http://schemas.openxmlformats.org/officeDocument/2006/relationships/hyperlink" Target="https://kit.kotelnikovartifact.ru/products/podveska-s-meteoritom-campo-del-cielo-3-100053" TargetMode="External"/><Relationship Id="rId619" Type="http://schemas.openxmlformats.org/officeDocument/2006/relationships/hyperlink" Target="https://www.wildberries.ru/catalog/505517408/detail.aspx" TargetMode="External"/><Relationship Id="rId620" Type="http://schemas.openxmlformats.org/officeDocument/2006/relationships/hyperlink" Target="https://kit.kotelnikovartifact.ru/products/podveska-s-meteoritom-campo-del-cielo-7-100066" TargetMode="External"/><Relationship Id="rId621" Type="http://schemas.openxmlformats.org/officeDocument/2006/relationships/hyperlink" Target="https://www.wildberries.ru/catalog/568624083/detail.aspx" TargetMode="External"/><Relationship Id="rId622" Type="http://schemas.openxmlformats.org/officeDocument/2006/relationships/hyperlink" Target="https://kit.kotelnikovartifact.ru/products/podveska-s-meteoritom-campo-del-cielo-100014" TargetMode="External"/><Relationship Id="rId623" Type="http://schemas.openxmlformats.org/officeDocument/2006/relationships/hyperlink" Target="https://www.wildberries.ru/catalog/583848247/detail.aspx" TargetMode="External"/><Relationship Id="rId624" Type="http://schemas.openxmlformats.org/officeDocument/2006/relationships/hyperlink" Target="https://kit.kotelnikovartifact.ru/products/podveska-s-meteoritom-campo-del-cielo-1-100052" TargetMode="External"/><Relationship Id="rId625" Type="http://schemas.openxmlformats.org/officeDocument/2006/relationships/hyperlink" Target="https://www.wildberries.ru/catalog/467177651/detail.aspx" TargetMode="External"/><Relationship Id="rId626" Type="http://schemas.openxmlformats.org/officeDocument/2006/relationships/hyperlink" Target="https://kit.kotelnikovartifact.ru/products/podveska-s-meteoritom-campo-del-cielo-17-100264" TargetMode="External"/><Relationship Id="rId627" Type="http://schemas.openxmlformats.org/officeDocument/2006/relationships/hyperlink" Target="https://www.wildberries.ru/catalog/430738893/detail.aspx" TargetMode="External"/><Relationship Id="rId628" Type="http://schemas.openxmlformats.org/officeDocument/2006/relationships/hyperlink" Target="https://kit.kotelnikovartifact.ru/products/podveska-s-meteoritom-campo-del-cielo-11-100250" TargetMode="External"/><Relationship Id="rId629" Type="http://schemas.openxmlformats.org/officeDocument/2006/relationships/hyperlink" Target="https://www.wildberries.ru/catalog/584965957/detail.aspx" TargetMode="External"/><Relationship Id="rId630" Type="http://schemas.openxmlformats.org/officeDocument/2006/relationships/hyperlink" Target="https://kit.kotelnikovartifact.ru/products/podveska-s-meteoritom-campo-del-cielo-68-gr-100210" TargetMode="External"/><Relationship Id="rId631" Type="http://schemas.openxmlformats.org/officeDocument/2006/relationships/hyperlink" Target="https://www.wildberries.ru/catalog/391243444/detail.aspx" TargetMode="External"/><Relationship Id="rId632" Type="http://schemas.openxmlformats.org/officeDocument/2006/relationships/hyperlink" Target="https://kit.kotelnikovartifact.ru/products/podveska-s-meteoritom-campo-del-sielo-100158" TargetMode="External"/><Relationship Id="rId633" Type="http://schemas.openxmlformats.org/officeDocument/2006/relationships/hyperlink" Target="https://www.wildberries.ru/catalog/387667621/detail.aspx" TargetMode="External"/><Relationship Id="rId634" Type="http://schemas.openxmlformats.org/officeDocument/2006/relationships/hyperlink" Target="https://kit.kotelnikovartifact.ru/products/podveska-s-meteoritom-muonionalusta-1-100271" TargetMode="External"/><Relationship Id="rId635" Type="http://schemas.openxmlformats.org/officeDocument/2006/relationships/hyperlink" Target="https://www.wildberries.ru/catalog/386539305/detail.aspx" TargetMode="External"/><Relationship Id="rId636" Type="http://schemas.openxmlformats.org/officeDocument/2006/relationships/hyperlink" Target="https://kit.kotelnikovartifact.ru/products/podveska-s-meteoritom-sericho-4-100307" TargetMode="External"/><Relationship Id="rId637" Type="http://schemas.openxmlformats.org/officeDocument/2006/relationships/hyperlink" Target="https://www.wildberries.ru/catalog/820164864/detail.aspx" TargetMode="External"/><Relationship Id="rId638" Type="http://schemas.openxmlformats.org/officeDocument/2006/relationships/hyperlink" Target="https://kit.kotelnikovartifact.ru/products/podveska-s-meteoritom-kampo-del-selo-100015" TargetMode="External"/><Relationship Id="rId639" Type="http://schemas.openxmlformats.org/officeDocument/2006/relationships/hyperlink" Target="https://www.wildberries.ru/catalog/820177972/detail.aspx" TargetMode="External"/><Relationship Id="rId640" Type="http://schemas.openxmlformats.org/officeDocument/2006/relationships/hyperlink" Target="https://kit.kotelnikovartifact.ru/products/podveska-s-meteoritom-kampo-del-selo-81-gr-100303" TargetMode="External"/><Relationship Id="rId641" Type="http://schemas.openxmlformats.org/officeDocument/2006/relationships/hyperlink" Target="https://www.wildberries.ru/catalog/863679106/detail.aspx" TargetMode="External"/><Relationship Id="rId642" Type="http://schemas.openxmlformats.org/officeDocument/2006/relationships/hyperlink" Target="https://kit.kotelnikovartifact.ru/products/podveska-s-meteoritom-kampo-del-selo-75-gr-100214" TargetMode="External"/><Relationship Id="rId643" Type="http://schemas.openxmlformats.org/officeDocument/2006/relationships/hyperlink" Target="https://www.wildberries.ru/catalog/568557360/detail.aspx" TargetMode="External"/><Relationship Id="rId644" Type="http://schemas.openxmlformats.org/officeDocument/2006/relationships/hyperlink" Target="https://kit.kotelnikovartifact.ru/products/podveska-s-meteoritom-kampo-del-selo-3-100291" TargetMode="External"/><Relationship Id="rId645" Type="http://schemas.openxmlformats.org/officeDocument/2006/relationships/hyperlink" Target="https://www.wildberries.ru/catalog/379084792/detail.aspx" TargetMode="External"/><Relationship Id="rId646" Type="http://schemas.openxmlformats.org/officeDocument/2006/relationships/hyperlink" Target="https://kit.kotelnikovartifact.ru/products/podveska-s-meteoritom-kampo-del-selo-2-100237" TargetMode="External"/><Relationship Id="rId647" Type="http://schemas.openxmlformats.org/officeDocument/2006/relationships/hyperlink" Target="https://www.wildberries.ru/catalog/379073960/detail.aspx" TargetMode="External"/><Relationship Id="rId648" Type="http://schemas.openxmlformats.org/officeDocument/2006/relationships/hyperlink" Target="https://kit.kotelnikovartifact.ru/products/podveska-s-meteoritom-kampo-del-selo-4-100257" TargetMode="External"/><Relationship Id="rId649" Type="http://schemas.openxmlformats.org/officeDocument/2006/relationships/hyperlink" Target="https://www.wildberries.ru/catalog/386621737/detail.aspx" TargetMode="External"/><Relationship Id="rId650" Type="http://schemas.openxmlformats.org/officeDocument/2006/relationships/hyperlink" Target="https://kit.kotelnikovartifact.ru/products/podveska-s-meteoritom-muonionalusta-100122" TargetMode="External"/><Relationship Id="rId651" Type="http://schemas.openxmlformats.org/officeDocument/2006/relationships/hyperlink" Target="https://www.wildberries.ru/catalog/505173451/detail.aspx" TargetMode="External"/><Relationship Id="rId652" Type="http://schemas.openxmlformats.org/officeDocument/2006/relationships/hyperlink" Target="https://kit.kotelnikovartifact.ru/products/podveska-s-meteoritom-sampo-del-cielo-100331" TargetMode="External"/><Relationship Id="rId653" Type="http://schemas.openxmlformats.org/officeDocument/2006/relationships/hyperlink" Target="https://www.wildberries.ru/catalog/1447902974/detail.aspx" TargetMode="External"/><Relationship Id="rId654" Type="http://schemas.openxmlformats.org/officeDocument/2006/relationships/hyperlink" Target="https://kit.kotelnikovartifact.ru/products/podveska-s-meteoritom-sericho-100030" TargetMode="External"/><Relationship Id="rId655" Type="http://schemas.openxmlformats.org/officeDocument/2006/relationships/hyperlink" Target="https://www.wildberries.ru/catalog/387093306/detail.aspx" TargetMode="External"/><Relationship Id="rId656" Type="http://schemas.openxmlformats.org/officeDocument/2006/relationships/hyperlink" Target="https://kit.kotelnikovartifact.ru/products/podveska-s-meteoritom-sericho-3-100074" TargetMode="External"/><Relationship Id="rId657" Type="http://schemas.openxmlformats.org/officeDocument/2006/relationships/hyperlink" Target="https://www.wildberries.ru/catalog/378998906/detail.aspx" TargetMode="External"/><Relationship Id="rId658" Type="http://schemas.openxmlformats.org/officeDocument/2006/relationships/hyperlink" Target="https://kit.kotelnikovartifact.ru/products/podveska-s-meteoritom-sericho-1-100049" TargetMode="External"/><Relationship Id="rId659" Type="http://schemas.openxmlformats.org/officeDocument/2006/relationships/hyperlink" Target="https://www.wildberries.ru/catalog/859439289/detail.aspx" TargetMode="External"/><Relationship Id="rId660" Type="http://schemas.openxmlformats.org/officeDocument/2006/relationships/hyperlink" Target="https://kit.kotelnikovartifact.ru/products/podveska-s-meteoritom-sericho-10-100215" TargetMode="External"/><Relationship Id="rId661" Type="http://schemas.openxmlformats.org/officeDocument/2006/relationships/hyperlink" Target="https://www.wildberries.ru/catalog/541224102/detail.aspx" TargetMode="External"/><Relationship Id="rId662" Type="http://schemas.openxmlformats.org/officeDocument/2006/relationships/hyperlink" Target="https://kit.kotelnikovartifact.ru/products/podveska-s-meteoritom-sihote-alin-1-100046" TargetMode="External"/><Relationship Id="rId663" Type="http://schemas.openxmlformats.org/officeDocument/2006/relationships/hyperlink" Target="https://www.wildberries.ru/catalog/443474437/detail.aspx" TargetMode="External"/><Relationship Id="rId664" Type="http://schemas.openxmlformats.org/officeDocument/2006/relationships/hyperlink" Target="https://kit.kotelnikovartifact.ru/products/podveska-s-meteoritom-sihote-alin-3-100288" TargetMode="External"/><Relationship Id="rId665" Type="http://schemas.openxmlformats.org/officeDocument/2006/relationships/hyperlink" Target="https://www.wildberries.ru/catalog/541300068/detail.aspx" TargetMode="External"/><Relationship Id="rId666" Type="http://schemas.openxmlformats.org/officeDocument/2006/relationships/hyperlink" Target="https://kit.kotelnikovartifact.ru/products/podveska-s-meteoritom-sihote-alin-100037" TargetMode="External"/><Relationship Id="rId667" Type="http://schemas.openxmlformats.org/officeDocument/2006/relationships/hyperlink" Target="https://www.wildberries.ru/catalog/430738268/detail.aspx" TargetMode="External"/><Relationship Id="rId668" Type="http://schemas.openxmlformats.org/officeDocument/2006/relationships/hyperlink" Target="https://kit.kotelnikovartifact.ru/products/podveska-s-podlinnym-meteoritom-campo-100195" TargetMode="External"/><Relationship Id="rId669" Type="http://schemas.openxmlformats.org/officeDocument/2006/relationships/hyperlink" Target="https://www.wildberries.ru/catalog/301521548/detail.aspx" TargetMode="External"/><Relationship Id="rId670" Type="http://schemas.openxmlformats.org/officeDocument/2006/relationships/hyperlink" Target="https://kit.kotelnikovartifact.ru/products/podveska-melong-iz-meteorita-muonionalusta-amulet-100238" TargetMode="External"/><Relationship Id="rId671" Type="http://schemas.openxmlformats.org/officeDocument/2006/relationships/hyperlink" Target="https://www.wildberries.ru/catalog/820171858/detail.aspx" TargetMode="External"/><Relationship Id="rId672" Type="http://schemas.openxmlformats.org/officeDocument/2006/relationships/hyperlink" Target="https://kit.kotelnikovartifact.ru/products/podveska-meteorit-kampo-del-selo-8-gr-100242" TargetMode="External"/><Relationship Id="rId673" Type="http://schemas.openxmlformats.org/officeDocument/2006/relationships/hyperlink" Target="https://www.wildberries.ru/catalog/391771905/detail.aspx" TargetMode="External"/><Relationship Id="rId674" Type="http://schemas.openxmlformats.org/officeDocument/2006/relationships/hyperlink" Target="https://kit.kotelnikovartifact.ru/products/dronino-kollekcionnyiy-obrazec-100272" TargetMode="External"/><Relationship Id="rId675" Type="http://schemas.openxmlformats.org/officeDocument/2006/relationships/hyperlink" Target="https://www.wildberries.ru/catalog/445394512/detail.aspx" TargetMode="External"/><Relationship Id="rId676" Type="http://schemas.openxmlformats.org/officeDocument/2006/relationships/hyperlink" Target="https://kit.kotelnikovartifact.ru/products/kollekcionnyiy-meteorit-sihote-alin-100302" TargetMode="External"/><Relationship Id="rId677" Type="http://schemas.openxmlformats.org/officeDocument/2006/relationships/hyperlink" Target="https://www.wildberries.ru/catalog/317539629/detail.aspx" TargetMode="External"/><Relationship Id="rId678" Type="http://schemas.openxmlformats.org/officeDocument/2006/relationships/hyperlink" Target="https://kit.kotelnikovartifact.ru/products/kollekcionnyiy-obrazec-meteorit-sihote-alin-11-100400" TargetMode="External"/><Relationship Id="rId679" Type="http://schemas.openxmlformats.org/officeDocument/2006/relationships/hyperlink" Target="https://www.wildberries.ru/catalog/690996240/detail.aspx" TargetMode="External"/><Relationship Id="rId680" Type="http://schemas.openxmlformats.org/officeDocument/2006/relationships/hyperlink" Target="https://kit.kotelnikovartifact.ru/products/kollekcionnyiy-obrazec-meteorit-campo-del-cielo-3-100313" TargetMode="External"/><Relationship Id="rId681" Type="http://schemas.openxmlformats.org/officeDocument/2006/relationships/hyperlink" Target="https://www.wildberries.ru/catalog/446603584/detail.aspx" TargetMode="External"/><Relationship Id="rId682" Type="http://schemas.openxmlformats.org/officeDocument/2006/relationships/hyperlink" Target="https://kit.kotelnikovartifact.ru/products/kollekcionnyiy-obrazec-meteorit-campo-del-cielo-6-100178" TargetMode="External"/><Relationship Id="rId683" Type="http://schemas.openxmlformats.org/officeDocument/2006/relationships/hyperlink" Target="https://www.wildberries.ru/catalog/468740722/detail.aspx" TargetMode="External"/><Relationship Id="rId684" Type="http://schemas.openxmlformats.org/officeDocument/2006/relationships/hyperlink" Target="https://kit.kotelnikovartifact.ru/products/kollekcionnyiy-obrazec-meteorit-campo-del-cielo-5-100398" TargetMode="External"/><Relationship Id="rId685" Type="http://schemas.openxmlformats.org/officeDocument/2006/relationships/hyperlink" Target="https://www.wildberries.ru/catalog/468695583/detail.aspx" TargetMode="External"/><Relationship Id="rId686" Type="http://schemas.openxmlformats.org/officeDocument/2006/relationships/hyperlink" Target="https://kit.kotelnikovartifact.ru/products/kollekcionnyiy-obrazec-meteorit-campo-del-cielo-1-1-100306" TargetMode="External"/><Relationship Id="rId687" Type="http://schemas.openxmlformats.org/officeDocument/2006/relationships/hyperlink" Target="https://www.wildberries.ru/catalog/336330241/detail.aspx" TargetMode="External"/><Relationship Id="rId688" Type="http://schemas.openxmlformats.org/officeDocument/2006/relationships/hyperlink" Target="https://kit.kotelnikovartifact.ru/products/kollekcionnyiy-obrazec-meteorit-campo-del-sielo-3-100349" TargetMode="External"/><Relationship Id="rId689" Type="http://schemas.openxmlformats.org/officeDocument/2006/relationships/hyperlink" Target="https://www.wildberries.ru/catalog/335125931/detail.aspx" TargetMode="External"/><Relationship Id="rId690" Type="http://schemas.openxmlformats.org/officeDocument/2006/relationships/hyperlink" Target="https://kit.kotelnikovartifact.ru/products/kollekcionnyiy-obrazec-meteorit-campo-del-sielo-1-100253" TargetMode="External"/><Relationship Id="rId691" Type="http://schemas.openxmlformats.org/officeDocument/2006/relationships/hyperlink" Target="https://www.wildberries.ru/catalog/347604738/detail.aspx" TargetMode="External"/><Relationship Id="rId692" Type="http://schemas.openxmlformats.org/officeDocument/2006/relationships/hyperlink" Target="https://kit.kotelnikovartifact.ru/products/kollekcionnyiy-obrazec-meteorit-campo-del-sielo-100079" TargetMode="External"/><Relationship Id="rId693" Type="http://schemas.openxmlformats.org/officeDocument/2006/relationships/hyperlink" Target="https://www.wildberries.ru/catalog/374531623/detail.aspx" TargetMode="External"/><Relationship Id="rId694" Type="http://schemas.openxmlformats.org/officeDocument/2006/relationships/hyperlink" Target="https://kit.kotelnikovartifact.ru/products/kollekcionnyiy-obrazec-meteorit-dronino-5-100221" TargetMode="External"/><Relationship Id="rId695" Type="http://schemas.openxmlformats.org/officeDocument/2006/relationships/hyperlink" Target="https://www.wildberries.ru/catalog/365938767/detail.aspx" TargetMode="External"/><Relationship Id="rId696" Type="http://schemas.openxmlformats.org/officeDocument/2006/relationships/hyperlink" Target="https://kit.kotelnikovartifact.ru/products/kollekcionnyiy-obrazec-meteorit-dronino-9-100359" TargetMode="External"/><Relationship Id="rId697" Type="http://schemas.openxmlformats.org/officeDocument/2006/relationships/hyperlink" Target="https://www.wildberries.ru/catalog/374544701/detail.aspx" TargetMode="External"/><Relationship Id="rId698" Type="http://schemas.openxmlformats.org/officeDocument/2006/relationships/hyperlink" Target="https://kit.kotelnikovartifact.ru/products/kollekcionnyiy-obrazec-meteorit-dronino-24-100379" TargetMode="External"/><Relationship Id="rId699" Type="http://schemas.openxmlformats.org/officeDocument/2006/relationships/hyperlink" Target="https://www.wildberries.ru/catalog/365849126/detail.aspx" TargetMode="External"/><Relationship Id="rId700" Type="http://schemas.openxmlformats.org/officeDocument/2006/relationships/hyperlink" Target="https://kit.kotelnikovartifact.ru/products/kollekcionnyiy-obrazec-meteorit-dronino-1-100130" TargetMode="External"/><Relationship Id="rId701" Type="http://schemas.openxmlformats.org/officeDocument/2006/relationships/hyperlink" Target="https://www.wildberries.ru/catalog/516978318/detail.aspx" TargetMode="External"/><Relationship Id="rId702" Type="http://schemas.openxmlformats.org/officeDocument/2006/relationships/hyperlink" Target="https://kit.kotelnikovartifact.ru/products/kollekcionnyiy-obrazec-meteorit-dronino-7-100304" TargetMode="External"/><Relationship Id="rId703" Type="http://schemas.openxmlformats.org/officeDocument/2006/relationships/hyperlink" Target="https://www.wildberries.ru/catalog/374566431/detail.aspx" TargetMode="External"/><Relationship Id="rId704" Type="http://schemas.openxmlformats.org/officeDocument/2006/relationships/hyperlink" Target="https://kit.kotelnikovartifact.ru/products/kollekcionnyiy-obrazec-meteorit-dronino-11-100382" TargetMode="External"/><Relationship Id="rId705" Type="http://schemas.openxmlformats.org/officeDocument/2006/relationships/hyperlink" Target="https://www.wildberries.ru/catalog/516980889/detail.aspx" TargetMode="External"/><Relationship Id="rId706" Type="http://schemas.openxmlformats.org/officeDocument/2006/relationships/hyperlink" Target="https://kit.kotelnikovartifact.ru/products/kollekcionnyiy-obrazec-meteorit-dronino-3-100211" TargetMode="External"/><Relationship Id="rId707" Type="http://schemas.openxmlformats.org/officeDocument/2006/relationships/hyperlink" Target="https://www.wildberries.ru/catalog/516964535/detail.aspx" TargetMode="External"/><Relationship Id="rId708" Type="http://schemas.openxmlformats.org/officeDocument/2006/relationships/hyperlink" Target="https://kit.kotelnikovartifact.ru/products/kollekcionnyiy-obrazec-meteorit-dronino-2-100170" TargetMode="External"/><Relationship Id="rId709" Type="http://schemas.openxmlformats.org/officeDocument/2006/relationships/hyperlink" Target="https://www.wildberries.ru/catalog/374551051/detail.aspx" TargetMode="External"/><Relationship Id="rId710" Type="http://schemas.openxmlformats.org/officeDocument/2006/relationships/hyperlink" Target="https://kit.kotelnikovartifact.ru/products/kollekcionnyiy-obrazec-meteorit-dronino-10-100348" TargetMode="External"/><Relationship Id="rId711" Type="http://schemas.openxmlformats.org/officeDocument/2006/relationships/hyperlink" Target="https://www.wildberries.ru/catalog/365869460/detail.aspx" TargetMode="External"/><Relationship Id="rId712" Type="http://schemas.openxmlformats.org/officeDocument/2006/relationships/hyperlink" Target="https://kit.kotelnikovartifact.ru/products/kollekcionnyiy-obrazec-meteorit-dronino-4-100317" TargetMode="External"/><Relationship Id="rId713" Type="http://schemas.openxmlformats.org/officeDocument/2006/relationships/hyperlink" Target="https://www.wildberries.ru/catalog/516995980/detail.aspx" TargetMode="External"/><Relationship Id="rId714" Type="http://schemas.openxmlformats.org/officeDocument/2006/relationships/hyperlink" Target="https://kit.kotelnikovartifact.ru/products/kollekcionnyiy-obrazec-meteorit-dronino-100040" TargetMode="External"/><Relationship Id="rId715" Type="http://schemas.openxmlformats.org/officeDocument/2006/relationships/hyperlink" Target="https://www.wildberries.ru/catalog/597019891/detail.aspx" TargetMode="External"/><Relationship Id="rId716" Type="http://schemas.openxmlformats.org/officeDocument/2006/relationships/hyperlink" Target="https://kit.kotelnikovartifact.ru/products/kollekcionnyiy-obrazec-meteorit-dronino-165-gr-100285" TargetMode="External"/><Relationship Id="rId717" Type="http://schemas.openxmlformats.org/officeDocument/2006/relationships/hyperlink" Target="https://www.wildberries.ru/catalog/516959913/detail.aspx" TargetMode="External"/><Relationship Id="rId718" Type="http://schemas.openxmlformats.org/officeDocument/2006/relationships/hyperlink" Target="https://kit.kotelnikovartifact.ru/products/kollekcionnyiy-obrazec-meteorit-dronino-3-1-100268" TargetMode="External"/><Relationship Id="rId719" Type="http://schemas.openxmlformats.org/officeDocument/2006/relationships/hyperlink" Target="https://www.wildberries.ru/catalog/266967547/detail.aspx" TargetMode="External"/><Relationship Id="rId720" Type="http://schemas.openxmlformats.org/officeDocument/2006/relationships/hyperlink" Target="https://kit.kotelnikovartifact.ru/products/kollekcionnyiy-obrazec-meteorit-kampo-del-selo-100118" TargetMode="External"/><Relationship Id="rId721" Type="http://schemas.openxmlformats.org/officeDocument/2006/relationships/hyperlink" Target="https://www.wildberries.ru/catalog/266972361/detail.aspx" TargetMode="External"/><Relationship Id="rId722" Type="http://schemas.openxmlformats.org/officeDocument/2006/relationships/hyperlink" Target="https://kit.kotelnikovartifact.ru/products/kollekcionnyiy-obrazec-meteorit-kampo-del-selo-2-100384" TargetMode="External"/><Relationship Id="rId723" Type="http://schemas.openxmlformats.org/officeDocument/2006/relationships/hyperlink" Target="https://www.wildberries.ru/catalog/691001605/detail.aspx" TargetMode="External"/><Relationship Id="rId724" Type="http://schemas.openxmlformats.org/officeDocument/2006/relationships/hyperlink" Target="https://kit.kotelnikovartifact.ru/products/kollekcionnyiy-obrazec-meteorit-kampo-del-selo-1-100197" TargetMode="External"/><Relationship Id="rId725" Type="http://schemas.openxmlformats.org/officeDocument/2006/relationships/hyperlink" Target="https://www.wildberries.ru/catalog/334460490/detail.aspx" TargetMode="External"/><Relationship Id="rId726" Type="http://schemas.openxmlformats.org/officeDocument/2006/relationships/hyperlink" Target="https://kit.kotelnikovartifact.ru/products/kollekcionnyiy-obrazec-meteorit-kanon-dyablo-100286" TargetMode="External"/><Relationship Id="rId727" Type="http://schemas.openxmlformats.org/officeDocument/2006/relationships/hyperlink" Target="https://www.wildberries.ru/catalog/390777177/detail.aspx" TargetMode="External"/><Relationship Id="rId728" Type="http://schemas.openxmlformats.org/officeDocument/2006/relationships/hyperlink" Target="https://kit.kotelnikovartifact.ru/products/kollekcionnyiy-obrazec-meteorit-sihote-alin-10-100369" TargetMode="External"/><Relationship Id="rId729" Type="http://schemas.openxmlformats.org/officeDocument/2006/relationships/hyperlink" Target="https://www.wildberries.ru/catalog/445391913/detail.aspx" TargetMode="External"/><Relationship Id="rId730" Type="http://schemas.openxmlformats.org/officeDocument/2006/relationships/hyperlink" Target="https://kit.kotelnikovartifact.ru/products/kollekcionnyiy-obrazec-meteorit-sihote-alin-4-100388" TargetMode="External"/><Relationship Id="rId731" Type="http://schemas.openxmlformats.org/officeDocument/2006/relationships/hyperlink" Target="https://www.wildberries.ru/catalog/386392387/detail.aspx" TargetMode="External"/><Relationship Id="rId732" Type="http://schemas.openxmlformats.org/officeDocument/2006/relationships/hyperlink" Target="https://kit.kotelnikovartifact.ru/products/kollekcionnyiy-obrazec-meteorit-sihote-alin-3-100341" TargetMode="External"/><Relationship Id="rId733" Type="http://schemas.openxmlformats.org/officeDocument/2006/relationships/hyperlink" Target="https://www.wildberries.ru/catalog/447657279/detail.aspx" TargetMode="External"/><Relationship Id="rId734" Type="http://schemas.openxmlformats.org/officeDocument/2006/relationships/hyperlink" Target="https://kit.kotelnikovartifact.ru/products/kollekcionnyiy-obrazec-meteorit-sihote-alin-6-100345" TargetMode="External"/><Relationship Id="rId735" Type="http://schemas.openxmlformats.org/officeDocument/2006/relationships/hyperlink" Target="https://www.wildberries.ru/catalog/447659932/detail.aspx" TargetMode="External"/><Relationship Id="rId736" Type="http://schemas.openxmlformats.org/officeDocument/2006/relationships/hyperlink" Target="https://kit.kotelnikovartifact.ru/products/kollekcionnyiy-obrazec-meteorit-sihote-alin-2-100259" TargetMode="External"/><Relationship Id="rId737" Type="http://schemas.openxmlformats.org/officeDocument/2006/relationships/hyperlink" Target="https://www.wildberries.ru/catalog/731575790/detail.aspx" TargetMode="External"/><Relationship Id="rId738" Type="http://schemas.openxmlformats.org/officeDocument/2006/relationships/hyperlink" Target="https://kit.kotelnikovartifact.ru/products/kollekcionnyiy-obrazec-meteorit-carev-2-100255" TargetMode="External"/><Relationship Id="rId739" Type="http://schemas.openxmlformats.org/officeDocument/2006/relationships/hyperlink" Target="https://www.wildberries.ru/catalog/468684345/detail.aspx" TargetMode="External"/><Relationship Id="rId740" Type="http://schemas.openxmlformats.org/officeDocument/2006/relationships/hyperlink" Target="https://kit.kotelnikovartifact.ru/products/meteorit-campo-del-cielo-100399" TargetMode="External"/><Relationship Id="rId741" Type="http://schemas.openxmlformats.org/officeDocument/2006/relationships/hyperlink" Target="https://www.wildberries.ru/catalog/596997213/detail.aspx" TargetMode="External"/><Relationship Id="rId742" Type="http://schemas.openxmlformats.org/officeDocument/2006/relationships/hyperlink" Target="https://kit.kotelnikovartifact.ru/products/meteorit-canyon-diablo-kollekcionnyiy-obrazeiy-124-gr-100083" TargetMode="External"/><Relationship Id="rId743" Type="http://schemas.openxmlformats.org/officeDocument/2006/relationships/hyperlink" Target="https://www.wildberries.ru/catalog/391785664/detail.aspx" TargetMode="External"/><Relationship Id="rId744" Type="http://schemas.openxmlformats.org/officeDocument/2006/relationships/hyperlink" Target="https://kit.kotelnikovartifact.ru/products/meteorit-dronino-kollekcionnyiy-obrazec-100284" TargetMode="External"/><Relationship Id="rId745" Type="http://schemas.openxmlformats.org/officeDocument/2006/relationships/hyperlink" Target="https://www.wildberries.ru/catalog/374522317/detail.aspx" TargetMode="External"/><Relationship Id="rId746" Type="http://schemas.openxmlformats.org/officeDocument/2006/relationships/hyperlink" Target="https://kit.kotelnikovartifact.ru/products/meteorit-dronino-102-g-redkiiy-obrazec-dlya-meditaciiy-100245" TargetMode="External"/><Relationship Id="rId747" Type="http://schemas.openxmlformats.org/officeDocument/2006/relationships/hyperlink" Target="https://www.wildberries.ru/catalog/412516849/detail.aspx" TargetMode="External"/><Relationship Id="rId748" Type="http://schemas.openxmlformats.org/officeDocument/2006/relationships/hyperlink" Target="https://kit.kotelnikovartifact.ru/products/meteorit-kampo-del-selo-4-100358" TargetMode="External"/><Relationship Id="rId749" Type="http://schemas.openxmlformats.org/officeDocument/2006/relationships/hyperlink" Target="https://www.wildberries.ru/catalog/312927818/detail.aspx" TargetMode="External"/><Relationship Id="rId750" Type="http://schemas.openxmlformats.org/officeDocument/2006/relationships/hyperlink" Target="https://kit.kotelnikovartifact.ru/products/meteorit-kampo-del-selo-2-100273" TargetMode="External"/><Relationship Id="rId751" Type="http://schemas.openxmlformats.org/officeDocument/2006/relationships/hyperlink" Target="https://www.wildberries.ru/catalog/304767230/detail.aspx" TargetMode="External"/><Relationship Id="rId752" Type="http://schemas.openxmlformats.org/officeDocument/2006/relationships/hyperlink" Target="https://kit.kotelnikovartifact.ru/products/meteorit-kampo-del-selo-6-100294" TargetMode="External"/><Relationship Id="rId753" Type="http://schemas.openxmlformats.org/officeDocument/2006/relationships/hyperlink" Target="https://www.wildberries.ru/catalog/309514535/detail.aspx" TargetMode="External"/><Relationship Id="rId754" Type="http://schemas.openxmlformats.org/officeDocument/2006/relationships/hyperlink" Target="https://kit.kotelnikovartifact.ru/products/meteorit-kampo-del-selo-100160" TargetMode="External"/><Relationship Id="rId755" Type="http://schemas.openxmlformats.org/officeDocument/2006/relationships/hyperlink" Target="https://www.wildberries.ru/catalog/318621865/detail.aspx" TargetMode="External"/><Relationship Id="rId756" Type="http://schemas.openxmlformats.org/officeDocument/2006/relationships/hyperlink" Target="https://kit.kotelnikovartifact.ru/products/meteorit-kampo-del-selo-1-100229" TargetMode="External"/><Relationship Id="rId757" Type="http://schemas.openxmlformats.org/officeDocument/2006/relationships/hyperlink" Target="https://www.wildberries.ru/catalog/318613442/detail.aspx" TargetMode="External"/><Relationship Id="rId758" Type="http://schemas.openxmlformats.org/officeDocument/2006/relationships/hyperlink" Target="https://kit.kotelnikovartifact.ru/products/meteorit-kampo-del-selo-kollekcionnyiy-obrazec-100393" TargetMode="External"/><Relationship Id="rId759" Type="http://schemas.openxmlformats.org/officeDocument/2006/relationships/hyperlink" Target="https://www.wildberries.ru/catalog/333508872/detail.aspx" TargetMode="External"/><Relationship Id="rId760" Type="http://schemas.openxmlformats.org/officeDocument/2006/relationships/hyperlink" Target="https://kit.kotelnikovartifact.ru/products/meteorit-kampo-del-selo-162g-obrazec-iz-poleiy-argentiny-100254" TargetMode="External"/><Relationship Id="rId761" Type="http://schemas.openxmlformats.org/officeDocument/2006/relationships/hyperlink" Target="https://www.wildberries.ru/catalog/347595157/detail.aspx" TargetMode="External"/><Relationship Id="rId762" Type="http://schemas.openxmlformats.org/officeDocument/2006/relationships/hyperlink" Target="https://kit.kotelnikovartifact.ru/products/meteorit-kampo-del-selo-166g-s-unikalnoiy-strukturoiy-100362" TargetMode="External"/><Relationship Id="rId763" Type="http://schemas.openxmlformats.org/officeDocument/2006/relationships/hyperlink" Target="https://www.wildberries.ru/catalog/304771951/detail.aspx" TargetMode="External"/><Relationship Id="rId764" Type="http://schemas.openxmlformats.org/officeDocument/2006/relationships/hyperlink" Target="https://kit.kotelnikovartifact.ru/products/meteorit-kampo-del-selo-197g-jelezo-nikelevyiy-obrazec-100230" TargetMode="External"/><Relationship Id="rId765" Type="http://schemas.openxmlformats.org/officeDocument/2006/relationships/hyperlink" Target="https://www.wildberries.ru/catalog/468705942/detail.aspx" TargetMode="External"/><Relationship Id="rId766" Type="http://schemas.openxmlformats.org/officeDocument/2006/relationships/hyperlink" Target="https://kit.kotelnikovartifact.ru/products/meteorit-kampo-del-selo-jeleznyiy-obrazec-2-100151" TargetMode="External"/><Relationship Id="rId767" Type="http://schemas.openxmlformats.org/officeDocument/2006/relationships/hyperlink" Target="https://www.wildberries.ru/catalog/318124238/detail.aspx" TargetMode="External"/><Relationship Id="rId768" Type="http://schemas.openxmlformats.org/officeDocument/2006/relationships/hyperlink" Target="https://kit.kotelnikovartifact.ru/products/meteorit-kanon-dyablo-kollekcionnyiy-obrazec-156-gr-100104" TargetMode="External"/><Relationship Id="rId769" Type="http://schemas.openxmlformats.org/officeDocument/2006/relationships/hyperlink" Target="https://www.wildberries.ru/catalog/328065348/detail.aspx" TargetMode="External"/><Relationship Id="rId770" Type="http://schemas.openxmlformats.org/officeDocument/2006/relationships/hyperlink" Target="https://kit.kotelnikovartifact.ru/products/meteorit-kanon-dyablo-152g-iz-arizonskogo-kratera-100397" TargetMode="External"/><Relationship Id="rId771" Type="http://schemas.openxmlformats.org/officeDocument/2006/relationships/hyperlink" Target="https://www.wildberries.ru/catalog/412413756/detail.aspx" TargetMode="External"/><Relationship Id="rId772" Type="http://schemas.openxmlformats.org/officeDocument/2006/relationships/hyperlink" Target="https://kit.kotelnikovartifact.ru/products/meteorit-sihote-alin-100159" TargetMode="External"/><Relationship Id="rId773" Type="http://schemas.openxmlformats.org/officeDocument/2006/relationships/hyperlink" Target="https://www.wildberries.ru/catalog/391729632/detail.aspx" TargetMode="External"/><Relationship Id="rId774" Type="http://schemas.openxmlformats.org/officeDocument/2006/relationships/hyperlink" Target="https://kit.kotelnikovartifact.ru/products/meteorit-sihote-alin-redkiiy-kollekcionnyiy-obrazec-100241" TargetMode="External"/><Relationship Id="rId775" Type="http://schemas.openxmlformats.org/officeDocument/2006/relationships/hyperlink" Target="https://www.wildberries.ru/catalog/391231570/detail.aspx" TargetMode="External"/><Relationship Id="rId776" Type="http://schemas.openxmlformats.org/officeDocument/2006/relationships/hyperlink" Target="https://kit.kotelnikovartifact.ru/products/meteorit-sihote-alin-redkiiy-kollekcionnyiy-obrazec-1-100368" TargetMode="External"/><Relationship Id="rId777" Type="http://schemas.openxmlformats.org/officeDocument/2006/relationships/hyperlink" Target="https://www.wildberries.ru/catalog/367834455/detail.aspx" TargetMode="External"/><Relationship Id="rId778" Type="http://schemas.openxmlformats.org/officeDocument/2006/relationships/hyperlink" Target="https://kit.kotelnikovartifact.ru/products/meteorit-sihote-alin-131g-kosmicheskiiy-obrazec-klassa-100372" TargetMode="External"/><Relationship Id="rId779" Type="http://schemas.openxmlformats.org/officeDocument/2006/relationships/hyperlink" Target="https://www.wildberries.ru/catalog/343158945/detail.aspx" TargetMode="External"/><Relationship Id="rId780" Type="http://schemas.openxmlformats.org/officeDocument/2006/relationships/hyperlink" Target="https://kit.kotelnikovartifact.ru/products/meteorit-sihote-alin-163g-jeleznyiy-kosmicheskiiy-obrazec-100389" TargetMode="External"/><Relationship Id="rId781" Type="http://schemas.openxmlformats.org/officeDocument/2006/relationships/hyperlink" Target="https://www.wildberries.ru/catalog/369052608/detail.aspx" TargetMode="External"/><Relationship Id="rId782" Type="http://schemas.openxmlformats.org/officeDocument/2006/relationships/hyperlink" Target="https://kit.kotelnikovartifact.ru/products/meteorit-sihote-alin-168g-obrazec-s-sertifikatom-100342" TargetMode="External"/><Relationship Id="rId783" Type="http://schemas.openxmlformats.org/officeDocument/2006/relationships/hyperlink" Target="https://www.wildberries.ru/catalog/325757368/detail.aspx" TargetMode="External"/><Relationship Id="rId784" Type="http://schemas.openxmlformats.org/officeDocument/2006/relationships/hyperlink" Target="https://kit.kotelnikovartifact.ru/products/meteorit-sihote-alin-177g-s-vidmanshtettenovoiy-strukturoiy-100404" TargetMode="External"/><Relationship Id="rId785" Type="http://schemas.openxmlformats.org/officeDocument/2006/relationships/hyperlink" Target="https://www.wildberries.ru/catalog/325750462/detail.aspx" TargetMode="External"/><Relationship Id="rId786" Type="http://schemas.openxmlformats.org/officeDocument/2006/relationships/hyperlink" Target="https://kit.kotelnikovartifact.ru/products/meteorit-sihote-alin-19g-oskolok-s-istorieiy-padeniya-100365" TargetMode="External"/><Relationship Id="rId787" Type="http://schemas.openxmlformats.org/officeDocument/2006/relationships/hyperlink" Target="https://www.wildberries.ru/catalog/317547824/detail.aspx" TargetMode="External"/><Relationship Id="rId788" Type="http://schemas.openxmlformats.org/officeDocument/2006/relationships/hyperlink" Target="https://kit.kotelnikovartifact.ru/products/meteorit-sihote-alin-20g-obrazec-dlya-kollekcii-100361" TargetMode="External"/><Relationship Id="rId789" Type="http://schemas.openxmlformats.org/officeDocument/2006/relationships/hyperlink" Target="https://www.wildberries.ru/catalog/374472432/detail.aspx" TargetMode="External"/><Relationship Id="rId790" Type="http://schemas.openxmlformats.org/officeDocument/2006/relationships/hyperlink" Target="https://kit.kotelnikovartifact.ru/products/meteorit-sihote-alin-372g-krupnyiy-obrazec-100338" TargetMode="External"/><Relationship Id="rId791" Type="http://schemas.openxmlformats.org/officeDocument/2006/relationships/hyperlink" Target="https://www.wildberries.ru/catalog/347637872/detail.aspx" TargetMode="External"/><Relationship Id="rId792" Type="http://schemas.openxmlformats.org/officeDocument/2006/relationships/hyperlink" Target="https://kit.kotelnikovartifact.ru/products/meteorit-sihote-alin-55g-kompaktnyiy-obrazec-100213" TargetMode="External"/><Relationship Id="rId793" Type="http://schemas.openxmlformats.org/officeDocument/2006/relationships/hyperlink" Target="https://www.wildberries.ru/catalog/333517271/detail.aspx" TargetMode="External"/><Relationship Id="rId794" Type="http://schemas.openxmlformats.org/officeDocument/2006/relationships/hyperlink" Target="https://kit.kotelnikovartifact.ru/products/meteorit-sihote-alin-52g-obrazec-s-koroiy-plavleniya-100196" TargetMode="External"/><Relationship Id="rId795" Type="http://schemas.openxmlformats.org/officeDocument/2006/relationships/hyperlink" Target="https://www.wildberries.ru/catalog/801052463/detail.aspx" TargetMode="External"/><Relationship Id="rId796" Type="http://schemas.openxmlformats.org/officeDocument/2006/relationships/hyperlink" Target="https://kit.kotelnikovartifact.ru/products/meteorit-sihote-alin-jeleznyiy-kollekcionnyiy-fragment-100099" TargetMode="External"/><Relationship Id="rId797" Type="http://schemas.openxmlformats.org/officeDocument/2006/relationships/hyperlink" Target="https://www.wildberries.ru/catalog/447659169/detail.aspx" TargetMode="External"/><Relationship Id="rId798" Type="http://schemas.openxmlformats.org/officeDocument/2006/relationships/hyperlink" Target="https://kit.kotelnikovartifact.ru/products/meteorit-sihote-alin-jeleznyiy-oskolok-obrazec-1-100162" TargetMode="External"/><Relationship Id="rId799" Type="http://schemas.openxmlformats.org/officeDocument/2006/relationships/hyperlink" Target="https://www.wildberries.ru/catalog/526534735/detail.aspx" TargetMode="External"/><Relationship Id="rId800" Type="http://schemas.openxmlformats.org/officeDocument/2006/relationships/hyperlink" Target="https://kit.kotelnikovartifact.ru/products/meteorit-sihote-alin-1-100248" TargetMode="External"/><Relationship Id="rId801" Type="http://schemas.openxmlformats.org/officeDocument/2006/relationships/hyperlink" Target="https://www.wildberries.ru/catalog/304681906/detail.aspx" TargetMode="External"/><Relationship Id="rId802" Type="http://schemas.openxmlformats.org/officeDocument/2006/relationships/hyperlink" Target="https://kit.kotelnikovartifact.ru/products/figurka-piyao-iz-marokkanskogo-meteorita-100366" TargetMode="External"/><Relationship Id="rId803" Type="http://schemas.openxmlformats.org/officeDocument/2006/relationships/drawing" Target="../drawings/drawing1.xml"/><Relationship Id="rId80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48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34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8" min="16" style="1" width="13"/>
    <col collapsed="false" customWidth="true" hidden="false" outlineLevel="0" max="22" min="19" style="1" width="11"/>
    <col collapsed="false" customWidth="true" hidden="false" outlineLevel="0" max="24" min="23" style="1" width="14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4" t="s">
        <v>27</v>
      </c>
      <c r="E2" s="4" t="s">
        <v>28</v>
      </c>
      <c r="F2" s="4" t="s">
        <v>29</v>
      </c>
      <c r="G2" s="5"/>
      <c r="H2" s="6"/>
      <c r="I2" s="6"/>
      <c r="J2" s="4" t="n">
        <v>2</v>
      </c>
      <c r="K2" s="7" t="n">
        <v>15800</v>
      </c>
      <c r="L2" s="8" t="n">
        <v>42</v>
      </c>
      <c r="M2" s="7" t="n">
        <v>9164</v>
      </c>
      <c r="N2" s="7" t="n">
        <v>5974</v>
      </c>
      <c r="O2" s="9" t="str">
        <f aca="false">IF(AND(N(G2)&gt;0,N(M2)&gt;0),G2/M2,"")</f>
        <v/>
      </c>
      <c r="P2" s="7" t="n">
        <v>15800</v>
      </c>
      <c r="Q2" s="7" t="n">
        <v>9164</v>
      </c>
      <c r="R2" s="4" t="s">
        <v>30</v>
      </c>
      <c r="S2" s="7" t="n">
        <v>9890</v>
      </c>
      <c r="T2" s="7" t="n">
        <v>15800</v>
      </c>
      <c r="U2" s="7" t="n">
        <v>9190</v>
      </c>
      <c r="V2" s="7" t="n">
        <v>15800</v>
      </c>
      <c r="W2" s="10" t="s">
        <v>31</v>
      </c>
      <c r="X2" s="10" t="s">
        <v>31</v>
      </c>
    </row>
    <row r="3" customFormat="false" ht="15" hidden="false" customHeight="true" outlineLevel="0" collapsed="false">
      <c r="A3" s="3" t="s">
        <v>32</v>
      </c>
      <c r="B3" s="3" t="s">
        <v>33</v>
      </c>
      <c r="C3" s="3" t="s">
        <v>34</v>
      </c>
      <c r="D3" s="4" t="s">
        <v>27</v>
      </c>
      <c r="E3" s="4" t="s">
        <v>35</v>
      </c>
      <c r="F3" s="4" t="s">
        <v>29</v>
      </c>
      <c r="G3" s="11" t="n">
        <v>3350</v>
      </c>
      <c r="H3" s="12" t="s">
        <v>36</v>
      </c>
      <c r="I3" s="12" t="s">
        <v>37</v>
      </c>
      <c r="J3" s="4" t="n">
        <v>2</v>
      </c>
      <c r="K3" s="7" t="n">
        <v>18000</v>
      </c>
      <c r="L3" s="8" t="n">
        <v>38</v>
      </c>
      <c r="M3" s="7" t="n">
        <v>11160</v>
      </c>
      <c r="N3" s="7" t="n">
        <v>7387</v>
      </c>
      <c r="O3" s="9" t="n">
        <f aca="false">IF(AND(N(G3)&gt;0,N(M3)&gt;0),G3/M3,"")</f>
        <v>0.300179211469534</v>
      </c>
      <c r="P3" s="7" t="n">
        <v>18000</v>
      </c>
      <c r="Q3" s="7" t="n">
        <v>11160</v>
      </c>
      <c r="R3" s="4" t="s">
        <v>30</v>
      </c>
      <c r="S3" s="7" t="n">
        <v>14590</v>
      </c>
      <c r="T3" s="7" t="n">
        <v>18000</v>
      </c>
      <c r="U3" s="7" t="n">
        <v>13590</v>
      </c>
      <c r="V3" s="7" t="n">
        <v>18000</v>
      </c>
      <c r="W3" s="10" t="s">
        <v>31</v>
      </c>
      <c r="X3" s="10" t="s">
        <v>31</v>
      </c>
    </row>
    <row r="4" customFormat="false" ht="15" hidden="false" customHeight="true" outlineLevel="0" collapsed="false">
      <c r="A4" s="3" t="s">
        <v>38</v>
      </c>
      <c r="B4" s="3" t="s">
        <v>39</v>
      </c>
      <c r="C4" s="3" t="s">
        <v>40</v>
      </c>
      <c r="D4" s="4" t="s">
        <v>27</v>
      </c>
      <c r="E4" s="4" t="s">
        <v>41</v>
      </c>
      <c r="F4" s="4" t="s">
        <v>29</v>
      </c>
      <c r="G4" s="11" t="n">
        <v>2300</v>
      </c>
      <c r="H4" s="12" t="s">
        <v>36</v>
      </c>
      <c r="I4" s="12" t="s">
        <v>37</v>
      </c>
      <c r="J4" s="4" t="n">
        <v>2</v>
      </c>
      <c r="K4" s="7" t="n">
        <v>20600</v>
      </c>
      <c r="L4" s="8" t="n">
        <v>57</v>
      </c>
      <c r="M4" s="7" t="n">
        <v>8858</v>
      </c>
      <c r="N4" s="7" t="n">
        <v>5775</v>
      </c>
      <c r="O4" s="9" t="n">
        <f aca="false">IF(AND(N(G4)&gt;0,N(M4)&gt;0),G4/M4,"")</f>
        <v>0.259652291713705</v>
      </c>
      <c r="P4" s="7" t="n">
        <v>20600</v>
      </c>
      <c r="Q4" s="7" t="n">
        <v>8858</v>
      </c>
      <c r="R4" s="4" t="s">
        <v>30</v>
      </c>
      <c r="S4" s="7" t="n">
        <v>12890</v>
      </c>
      <c r="T4" s="7" t="n">
        <v>20600</v>
      </c>
      <c r="U4" s="7" t="n">
        <v>11990</v>
      </c>
      <c r="V4" s="7" t="n">
        <v>20600</v>
      </c>
      <c r="W4" s="10" t="s">
        <v>31</v>
      </c>
      <c r="X4" s="10" t="s">
        <v>31</v>
      </c>
    </row>
    <row r="5" customFormat="false" ht="15" hidden="false" customHeight="true" outlineLevel="0" collapsed="false">
      <c r="A5" s="3" t="s">
        <v>42</v>
      </c>
      <c r="B5" s="3" t="s">
        <v>43</v>
      </c>
      <c r="C5" s="3" t="s">
        <v>44</v>
      </c>
      <c r="D5" s="4" t="s">
        <v>27</v>
      </c>
      <c r="E5" s="4" t="s">
        <v>45</v>
      </c>
      <c r="F5" s="4" t="s">
        <v>29</v>
      </c>
      <c r="G5" s="11" t="n">
        <v>1300</v>
      </c>
      <c r="H5" s="12" t="s">
        <v>36</v>
      </c>
      <c r="I5" s="12" t="s">
        <v>37</v>
      </c>
      <c r="J5" s="4" t="n">
        <v>2</v>
      </c>
      <c r="K5" s="7" t="n">
        <v>11875</v>
      </c>
      <c r="L5" s="8" t="n">
        <v>48</v>
      </c>
      <c r="M5" s="7" t="n">
        <v>6175</v>
      </c>
      <c r="N5" s="7" t="n">
        <v>4026</v>
      </c>
      <c r="O5" s="9" t="n">
        <f aca="false">IF(AND(N(G5)&gt;0,N(M5)&gt;0),G5/M5,"")</f>
        <v>0.210526315789474</v>
      </c>
      <c r="P5" s="7" t="n">
        <v>11875</v>
      </c>
      <c r="Q5" s="7" t="n">
        <v>6175</v>
      </c>
      <c r="R5" s="4" t="s">
        <v>30</v>
      </c>
      <c r="S5" s="7" t="n">
        <v>8290</v>
      </c>
      <c r="T5" s="7" t="n">
        <v>11875</v>
      </c>
      <c r="U5" s="7" t="n">
        <v>7790</v>
      </c>
      <c r="V5" s="7" t="n">
        <v>11875</v>
      </c>
      <c r="W5" s="10" t="s">
        <v>31</v>
      </c>
      <c r="X5" s="10" t="s">
        <v>31</v>
      </c>
    </row>
    <row r="6" customFormat="false" ht="15" hidden="false" customHeight="true" outlineLevel="0" collapsed="false">
      <c r="A6" s="3" t="s">
        <v>46</v>
      </c>
      <c r="B6" s="3" t="s">
        <v>47</v>
      </c>
      <c r="C6" s="3" t="s">
        <v>48</v>
      </c>
      <c r="D6" s="4" t="s">
        <v>49</v>
      </c>
      <c r="E6" s="4" t="s">
        <v>50</v>
      </c>
      <c r="F6" s="4" t="s">
        <v>29</v>
      </c>
      <c r="G6" s="5"/>
      <c r="H6" s="6"/>
      <c r="I6" s="6"/>
      <c r="J6" s="4" t="n">
        <v>1</v>
      </c>
      <c r="K6" s="7" t="n">
        <v>16500</v>
      </c>
      <c r="L6" s="8" t="n">
        <v>10</v>
      </c>
      <c r="M6" s="7" t="n">
        <v>14850</v>
      </c>
      <c r="N6" s="7" t="n">
        <v>9830</v>
      </c>
      <c r="O6" s="9" t="str">
        <f aca="false">IF(AND(N(G6)&gt;0,N(M6)&gt;0),G6/M6,"")</f>
        <v/>
      </c>
      <c r="P6" s="7" t="n">
        <v>16500</v>
      </c>
      <c r="Q6" s="7" t="n">
        <v>14850</v>
      </c>
      <c r="R6" s="4" t="s">
        <v>30</v>
      </c>
      <c r="S6" s="7" t="n">
        <v>18490</v>
      </c>
      <c r="T6" s="7" t="n">
        <v>22500</v>
      </c>
      <c r="U6" s="7" t="n">
        <v>17620</v>
      </c>
      <c r="V6" s="7" t="n">
        <v>22500</v>
      </c>
      <c r="W6" s="10" t="s">
        <v>31</v>
      </c>
      <c r="X6" s="10" t="s">
        <v>31</v>
      </c>
    </row>
    <row r="7" customFormat="false" ht="15" hidden="false" customHeight="true" outlineLevel="0" collapsed="false">
      <c r="A7" s="3" t="s">
        <v>51</v>
      </c>
      <c r="B7" s="3" t="s">
        <v>52</v>
      </c>
      <c r="C7" s="3" t="s">
        <v>53</v>
      </c>
      <c r="D7" s="4" t="s">
        <v>27</v>
      </c>
      <c r="E7" s="4" t="s">
        <v>54</v>
      </c>
      <c r="F7" s="4" t="s">
        <v>29</v>
      </c>
      <c r="G7" s="11" t="n">
        <v>3600</v>
      </c>
      <c r="H7" s="12" t="s">
        <v>36</v>
      </c>
      <c r="I7" s="12" t="s">
        <v>37</v>
      </c>
      <c r="J7" s="4" t="n">
        <v>1</v>
      </c>
      <c r="K7" s="7" t="n">
        <v>23750</v>
      </c>
      <c r="L7" s="8" t="n">
        <v>50</v>
      </c>
      <c r="M7" s="7" t="n">
        <v>11875</v>
      </c>
      <c r="N7" s="7" t="n">
        <v>7861</v>
      </c>
      <c r="O7" s="9" t="n">
        <f aca="false">IF(AND(N(G7)&gt;0,N(M7)&gt;0),G7/M7,"")</f>
        <v>0.303157894736842</v>
      </c>
      <c r="P7" s="7" t="n">
        <v>23750</v>
      </c>
      <c r="Q7" s="7" t="n">
        <v>11875</v>
      </c>
      <c r="R7" s="4" t="s">
        <v>30</v>
      </c>
      <c r="S7" s="7" t="n">
        <v>14790</v>
      </c>
      <c r="T7" s="7" t="n">
        <v>23750</v>
      </c>
      <c r="U7" s="7" t="n">
        <v>13790</v>
      </c>
      <c r="V7" s="7" t="n">
        <v>23750</v>
      </c>
      <c r="W7" s="10" t="s">
        <v>31</v>
      </c>
      <c r="X7" s="10" t="s">
        <v>31</v>
      </c>
    </row>
    <row r="8" customFormat="false" ht="15" hidden="false" customHeight="true" outlineLevel="0" collapsed="false">
      <c r="A8" s="3" t="s">
        <v>55</v>
      </c>
      <c r="B8" s="3" t="s">
        <v>56</v>
      </c>
      <c r="C8" s="3" t="s">
        <v>57</v>
      </c>
      <c r="D8" s="4" t="s">
        <v>27</v>
      </c>
      <c r="E8" s="4" t="s">
        <v>58</v>
      </c>
      <c r="F8" s="4" t="s">
        <v>29</v>
      </c>
      <c r="G8" s="11" t="n">
        <v>2300</v>
      </c>
      <c r="H8" s="12" t="s">
        <v>36</v>
      </c>
      <c r="I8" s="12" t="s">
        <v>37</v>
      </c>
      <c r="J8" s="4" t="n">
        <v>2</v>
      </c>
      <c r="K8" s="7" t="n">
        <v>10500</v>
      </c>
      <c r="L8" s="8" t="n">
        <v>11</v>
      </c>
      <c r="M8" s="7" t="n">
        <v>9345</v>
      </c>
      <c r="N8" s="7" t="n">
        <v>6092</v>
      </c>
      <c r="O8" s="9" t="n">
        <f aca="false">IF(AND(N(G8)&gt;0,N(M8)&gt;0),G8/M8,"")</f>
        <v>0.246120920278224</v>
      </c>
      <c r="P8" s="7" t="n">
        <v>10500</v>
      </c>
      <c r="Q8" s="7" t="n">
        <v>9345</v>
      </c>
      <c r="R8" s="4" t="s">
        <v>30</v>
      </c>
      <c r="S8" s="7" t="n">
        <v>11630</v>
      </c>
      <c r="T8" s="7" t="n">
        <v>15575</v>
      </c>
      <c r="U8" s="7" t="n">
        <v>11090</v>
      </c>
      <c r="V8" s="7" t="n">
        <v>13350</v>
      </c>
      <c r="W8" s="10" t="s">
        <v>31</v>
      </c>
      <c r="X8" s="10" t="s">
        <v>31</v>
      </c>
    </row>
    <row r="9" customFormat="false" ht="15" hidden="false" customHeight="true" outlineLevel="0" collapsed="false">
      <c r="A9" s="3" t="s">
        <v>59</v>
      </c>
      <c r="B9" s="3" t="s">
        <v>60</v>
      </c>
      <c r="C9" s="3" t="s">
        <v>61</v>
      </c>
      <c r="D9" s="4" t="s">
        <v>62</v>
      </c>
      <c r="E9" s="4" t="s">
        <v>63</v>
      </c>
      <c r="F9" s="4" t="s">
        <v>29</v>
      </c>
      <c r="G9" s="11" t="n">
        <v>1300</v>
      </c>
      <c r="H9" s="12" t="s">
        <v>36</v>
      </c>
      <c r="I9" s="12" t="s">
        <v>37</v>
      </c>
      <c r="J9" s="4" t="n">
        <v>1</v>
      </c>
      <c r="K9" s="7" t="n">
        <v>7800</v>
      </c>
      <c r="L9" s="8" t="n">
        <v>10</v>
      </c>
      <c r="M9" s="7" t="n">
        <v>7020</v>
      </c>
      <c r="N9" s="7" t="n">
        <v>4577</v>
      </c>
      <c r="O9" s="9" t="n">
        <f aca="false">IF(AND(N(G9)&gt;0,N(M9)&gt;0),G9/M9,"")</f>
        <v>0.185185185185185</v>
      </c>
      <c r="P9" s="7" t="n">
        <v>7800</v>
      </c>
      <c r="Q9" s="7" t="n">
        <v>7020</v>
      </c>
      <c r="R9" s="4" t="s">
        <v>30</v>
      </c>
      <c r="S9" s="7" t="n">
        <v>9230</v>
      </c>
      <c r="T9" s="7" t="n">
        <v>11400</v>
      </c>
      <c r="U9" s="7" t="n">
        <v>8800</v>
      </c>
      <c r="V9" s="7" t="n">
        <v>11400</v>
      </c>
      <c r="W9" s="10" t="s">
        <v>31</v>
      </c>
      <c r="X9" s="10" t="s">
        <v>31</v>
      </c>
    </row>
    <row r="10" customFormat="false" ht="15" hidden="false" customHeight="true" outlineLevel="0" collapsed="false">
      <c r="A10" s="3" t="s">
        <v>64</v>
      </c>
      <c r="B10" s="3" t="s">
        <v>60</v>
      </c>
      <c r="C10" s="3" t="s">
        <v>61</v>
      </c>
      <c r="D10" s="4" t="s">
        <v>27</v>
      </c>
      <c r="E10" s="4" t="s">
        <v>63</v>
      </c>
      <c r="F10" s="4" t="s">
        <v>29</v>
      </c>
      <c r="G10" s="11" t="n">
        <v>1300</v>
      </c>
      <c r="H10" s="12" t="s">
        <v>36</v>
      </c>
      <c r="I10" s="12" t="s">
        <v>37</v>
      </c>
      <c r="J10" s="4" t="n">
        <v>2</v>
      </c>
      <c r="K10" s="7" t="n">
        <v>7800</v>
      </c>
      <c r="L10" s="8" t="n">
        <v>10</v>
      </c>
      <c r="M10" s="7" t="n">
        <v>7020</v>
      </c>
      <c r="N10" s="7" t="n">
        <v>4577</v>
      </c>
      <c r="O10" s="9" t="n">
        <f aca="false">IF(AND(N(G10)&gt;0,N(M10)&gt;0),G10/M10,"")</f>
        <v>0.185185185185185</v>
      </c>
      <c r="P10" s="7" t="n">
        <v>7800</v>
      </c>
      <c r="Q10" s="7" t="n">
        <v>7020</v>
      </c>
      <c r="R10" s="4" t="s">
        <v>65</v>
      </c>
      <c r="S10" s="7" t="n">
        <v>9230</v>
      </c>
      <c r="T10" s="7" t="n">
        <v>11400</v>
      </c>
      <c r="U10" s="7" t="n">
        <v>8800</v>
      </c>
      <c r="V10" s="7" t="n">
        <v>11400</v>
      </c>
      <c r="W10" s="10" t="s">
        <v>31</v>
      </c>
      <c r="X10" s="10" t="s">
        <v>31</v>
      </c>
    </row>
    <row r="11" customFormat="false" ht="15" hidden="false" customHeight="true" outlineLevel="0" collapsed="false">
      <c r="A11" s="3" t="s">
        <v>66</v>
      </c>
      <c r="B11" s="3" t="s">
        <v>60</v>
      </c>
      <c r="C11" s="3" t="s">
        <v>61</v>
      </c>
      <c r="D11" s="4" t="s">
        <v>67</v>
      </c>
      <c r="E11" s="4" t="s">
        <v>63</v>
      </c>
      <c r="F11" s="4" t="s">
        <v>29</v>
      </c>
      <c r="G11" s="11" t="n">
        <v>1300</v>
      </c>
      <c r="H11" s="12" t="s">
        <v>36</v>
      </c>
      <c r="I11" s="12" t="s">
        <v>37</v>
      </c>
      <c r="J11" s="4" t="n">
        <v>1</v>
      </c>
      <c r="K11" s="7" t="n">
        <v>7800</v>
      </c>
      <c r="L11" s="8" t="n">
        <v>10</v>
      </c>
      <c r="M11" s="7" t="n">
        <v>7020</v>
      </c>
      <c r="N11" s="7" t="n">
        <v>4577</v>
      </c>
      <c r="O11" s="9" t="n">
        <f aca="false">IF(AND(N(G11)&gt;0,N(M11)&gt;0),G11/M11,"")</f>
        <v>0.185185185185185</v>
      </c>
      <c r="P11" s="7" t="n">
        <v>7800</v>
      </c>
      <c r="Q11" s="7" t="n">
        <v>7020</v>
      </c>
      <c r="R11" s="4" t="s">
        <v>65</v>
      </c>
      <c r="S11" s="7" t="n">
        <v>9230</v>
      </c>
      <c r="T11" s="7" t="n">
        <v>11400</v>
      </c>
      <c r="U11" s="7" t="n">
        <v>8800</v>
      </c>
      <c r="V11" s="7" t="n">
        <v>11400</v>
      </c>
      <c r="W11" s="10" t="s">
        <v>31</v>
      </c>
      <c r="X11" s="10" t="s">
        <v>31</v>
      </c>
    </row>
    <row r="12" customFormat="false" ht="15" hidden="false" customHeight="true" outlineLevel="0" collapsed="false">
      <c r="A12" s="3" t="s">
        <v>68</v>
      </c>
      <c r="B12" s="3" t="s">
        <v>69</v>
      </c>
      <c r="C12" s="3" t="s">
        <v>70</v>
      </c>
      <c r="D12" s="4"/>
      <c r="E12" s="4" t="s">
        <v>71</v>
      </c>
      <c r="F12" s="4" t="s">
        <v>72</v>
      </c>
      <c r="G12" s="5"/>
      <c r="H12" s="6"/>
      <c r="I12" s="6"/>
      <c r="J12" s="4" t="n">
        <v>1</v>
      </c>
      <c r="K12" s="7" t="n">
        <v>28100</v>
      </c>
      <c r="L12" s="8" t="n">
        <v>0</v>
      </c>
      <c r="M12" s="7" t="n">
        <v>28100</v>
      </c>
      <c r="N12" s="7" t="n">
        <v>18321</v>
      </c>
      <c r="O12" s="9" t="str">
        <f aca="false">IF(AND(N(G12)&gt;0,N(M12)&gt;0),G12/M12,"")</f>
        <v/>
      </c>
      <c r="P12" s="7" t="n">
        <v>28100</v>
      </c>
      <c r="Q12" s="7" t="n">
        <v>28100</v>
      </c>
      <c r="R12" s="4" t="s">
        <v>65</v>
      </c>
      <c r="S12" s="7"/>
      <c r="T12" s="7"/>
      <c r="U12" s="7"/>
      <c r="V12" s="7"/>
      <c r="W12" s="10" t="s">
        <v>31</v>
      </c>
      <c r="X12" s="10" t="s">
        <v>31</v>
      </c>
    </row>
    <row r="13" customFormat="false" ht="15" hidden="false" customHeight="true" outlineLevel="0" collapsed="false">
      <c r="A13" s="3" t="s">
        <v>73</v>
      </c>
      <c r="B13" s="3" t="s">
        <v>74</v>
      </c>
      <c r="C13" s="3" t="s">
        <v>75</v>
      </c>
      <c r="D13" s="4"/>
      <c r="E13" s="4" t="s">
        <v>76</v>
      </c>
      <c r="F13" s="4" t="s">
        <v>72</v>
      </c>
      <c r="G13" s="5"/>
      <c r="H13" s="6"/>
      <c r="I13" s="6"/>
      <c r="J13" s="4" t="n">
        <v>1</v>
      </c>
      <c r="K13" s="7" t="n">
        <v>31500</v>
      </c>
      <c r="L13" s="8" t="n">
        <v>0</v>
      </c>
      <c r="M13" s="7" t="n">
        <v>31500</v>
      </c>
      <c r="N13" s="7" t="n">
        <v>20538</v>
      </c>
      <c r="O13" s="9" t="str">
        <f aca="false">IF(AND(N(G13)&gt;0,N(M13)&gt;0),G13/M13,"")</f>
        <v/>
      </c>
      <c r="P13" s="7" t="n">
        <v>31500</v>
      </c>
      <c r="Q13" s="7" t="n">
        <v>31500</v>
      </c>
      <c r="R13" s="4" t="s">
        <v>30</v>
      </c>
      <c r="S13" s="7" t="n">
        <v>35890</v>
      </c>
      <c r="T13" s="7" t="n">
        <v>50000</v>
      </c>
      <c r="U13" s="7" t="n">
        <v>34180</v>
      </c>
      <c r="V13" s="7" t="n">
        <v>50000</v>
      </c>
      <c r="W13" s="10" t="s">
        <v>31</v>
      </c>
      <c r="X13" s="10" t="s">
        <v>31</v>
      </c>
    </row>
    <row r="14" customFormat="false" ht="15" hidden="false" customHeight="true" outlineLevel="0" collapsed="false">
      <c r="A14" s="3" t="s">
        <v>77</v>
      </c>
      <c r="B14" s="3" t="s">
        <v>78</v>
      </c>
      <c r="C14" s="3" t="s">
        <v>79</v>
      </c>
      <c r="D14" s="4"/>
      <c r="E14" s="4" t="s">
        <v>80</v>
      </c>
      <c r="F14" s="4" t="s">
        <v>72</v>
      </c>
      <c r="G14" s="11" t="n">
        <v>6500</v>
      </c>
      <c r="H14" s="12" t="s">
        <v>36</v>
      </c>
      <c r="I14" s="12" t="s">
        <v>37</v>
      </c>
      <c r="J14" s="4" t="n">
        <v>1</v>
      </c>
      <c r="K14" s="7" t="n">
        <v>48750</v>
      </c>
      <c r="L14" s="8" t="n">
        <v>18</v>
      </c>
      <c r="M14" s="7" t="n">
        <v>39975</v>
      </c>
      <c r="N14" s="7" t="n">
        <v>26063</v>
      </c>
      <c r="O14" s="9" t="n">
        <f aca="false">IF(AND(N(G14)&gt;0,N(M14)&gt;0),G14/M14,"")</f>
        <v>0.16260162601626</v>
      </c>
      <c r="P14" s="7" t="n">
        <v>48750</v>
      </c>
      <c r="Q14" s="7" t="n">
        <v>39975</v>
      </c>
      <c r="R14" s="4" t="s">
        <v>30</v>
      </c>
      <c r="S14" s="7" t="n">
        <v>39490</v>
      </c>
      <c r="T14" s="7" t="n">
        <v>48750</v>
      </c>
      <c r="U14" s="7" t="n">
        <v>39590</v>
      </c>
      <c r="V14" s="7" t="n">
        <v>48750</v>
      </c>
      <c r="W14" s="10" t="s">
        <v>31</v>
      </c>
      <c r="X14" s="10" t="s">
        <v>31</v>
      </c>
    </row>
    <row r="15" customFormat="false" ht="15" hidden="false" customHeight="true" outlineLevel="0" collapsed="false">
      <c r="A15" s="3" t="s">
        <v>81</v>
      </c>
      <c r="B15" s="3" t="s">
        <v>82</v>
      </c>
      <c r="C15" s="3" t="s">
        <v>83</v>
      </c>
      <c r="D15" s="4"/>
      <c r="E15" s="4" t="s">
        <v>84</v>
      </c>
      <c r="F15" s="4" t="s">
        <v>72</v>
      </c>
      <c r="G15" s="11" t="n">
        <v>6000</v>
      </c>
      <c r="H15" s="12" t="s">
        <v>36</v>
      </c>
      <c r="I15" s="12" t="s">
        <v>37</v>
      </c>
      <c r="J15" s="4" t="n">
        <v>1</v>
      </c>
      <c r="K15" s="7" t="n">
        <v>31500</v>
      </c>
      <c r="L15" s="8" t="n">
        <v>0</v>
      </c>
      <c r="M15" s="7" t="n">
        <v>31500</v>
      </c>
      <c r="N15" s="7" t="n">
        <v>20538</v>
      </c>
      <c r="O15" s="9" t="n">
        <f aca="false">IF(AND(N(G15)&gt;0,N(M15)&gt;0),G15/M15,"")</f>
        <v>0.19047619047619</v>
      </c>
      <c r="P15" s="7" t="n">
        <v>31500</v>
      </c>
      <c r="Q15" s="7" t="n">
        <v>31500</v>
      </c>
      <c r="R15" s="4" t="s">
        <v>30</v>
      </c>
      <c r="S15" s="7" t="n">
        <v>35890</v>
      </c>
      <c r="T15" s="7" t="n">
        <v>50000</v>
      </c>
      <c r="U15" s="7" t="n">
        <v>34180</v>
      </c>
      <c r="V15" s="7" t="n">
        <v>50000</v>
      </c>
      <c r="W15" s="10" t="s">
        <v>31</v>
      </c>
      <c r="X15" s="10" t="s">
        <v>31</v>
      </c>
    </row>
    <row r="16" customFormat="false" ht="15" hidden="false" customHeight="true" outlineLevel="0" collapsed="false">
      <c r="A16" s="3" t="s">
        <v>85</v>
      </c>
      <c r="B16" s="3" t="s">
        <v>86</v>
      </c>
      <c r="C16" s="3" t="s">
        <v>87</v>
      </c>
      <c r="D16" s="4"/>
      <c r="E16" s="4" t="s">
        <v>88</v>
      </c>
      <c r="F16" s="4" t="s">
        <v>72</v>
      </c>
      <c r="G16" s="11" t="n">
        <v>6500</v>
      </c>
      <c r="H16" s="12" t="s">
        <v>36</v>
      </c>
      <c r="I16" s="12" t="s">
        <v>37</v>
      </c>
      <c r="J16" s="4" t="n">
        <v>1</v>
      </c>
      <c r="K16" s="7" t="n">
        <v>81250</v>
      </c>
      <c r="L16" s="8" t="n">
        <v>45</v>
      </c>
      <c r="M16" s="7" t="n">
        <v>44687.5</v>
      </c>
      <c r="N16" s="7" t="n">
        <v>29136</v>
      </c>
      <c r="O16" s="9" t="n">
        <f aca="false">IF(AND(N(G16)&gt;0,N(M16)&gt;0),G16/M16,"")</f>
        <v>0.145454545454545</v>
      </c>
      <c r="P16" s="7" t="n">
        <v>81250</v>
      </c>
      <c r="Q16" s="7" t="n">
        <v>44688</v>
      </c>
      <c r="R16" s="4" t="s">
        <v>30</v>
      </c>
      <c r="S16" s="7" t="n">
        <v>65790</v>
      </c>
      <c r="T16" s="7" t="n">
        <v>81250</v>
      </c>
      <c r="U16" s="7" t="n">
        <v>65890</v>
      </c>
      <c r="V16" s="7" t="n">
        <v>81250</v>
      </c>
      <c r="W16" s="10" t="s">
        <v>31</v>
      </c>
      <c r="X16" s="10" t="s">
        <v>31</v>
      </c>
    </row>
    <row r="17" customFormat="false" ht="15" hidden="false" customHeight="true" outlineLevel="0" collapsed="false">
      <c r="A17" s="3" t="s">
        <v>89</v>
      </c>
      <c r="B17" s="3" t="s">
        <v>90</v>
      </c>
      <c r="C17" s="3" t="s">
        <v>91</v>
      </c>
      <c r="D17" s="4"/>
      <c r="E17" s="4" t="s">
        <v>92</v>
      </c>
      <c r="F17" s="4" t="s">
        <v>72</v>
      </c>
      <c r="G17" s="5"/>
      <c r="H17" s="6"/>
      <c r="I17" s="6"/>
      <c r="J17" s="4" t="n">
        <v>1</v>
      </c>
      <c r="K17" s="7" t="n">
        <v>48750</v>
      </c>
      <c r="L17" s="8" t="n">
        <v>40</v>
      </c>
      <c r="M17" s="7" t="n">
        <v>29250</v>
      </c>
      <c r="N17" s="7" t="n">
        <v>19071</v>
      </c>
      <c r="O17" s="9" t="str">
        <f aca="false">IF(AND(N(G17)&gt;0,N(M17)&gt;0),G17/M17,"")</f>
        <v/>
      </c>
      <c r="P17" s="7" t="n">
        <v>48750</v>
      </c>
      <c r="Q17" s="7" t="n">
        <v>29250</v>
      </c>
      <c r="R17" s="4" t="s">
        <v>30</v>
      </c>
      <c r="S17" s="7" t="n">
        <v>40890</v>
      </c>
      <c r="T17" s="7" t="n">
        <v>48750</v>
      </c>
      <c r="U17" s="7" t="n">
        <v>40990</v>
      </c>
      <c r="V17" s="7" t="n">
        <v>48750</v>
      </c>
      <c r="W17" s="10" t="s">
        <v>31</v>
      </c>
      <c r="X17" s="10" t="s">
        <v>31</v>
      </c>
    </row>
    <row r="18" customFormat="false" ht="15" hidden="false" customHeight="true" outlineLevel="0" collapsed="false">
      <c r="A18" s="3" t="s">
        <v>93</v>
      </c>
      <c r="B18" s="3" t="s">
        <v>94</v>
      </c>
      <c r="C18" s="3" t="s">
        <v>95</v>
      </c>
      <c r="D18" s="4"/>
      <c r="E18" s="4" t="s">
        <v>96</v>
      </c>
      <c r="F18" s="4" t="s">
        <v>72</v>
      </c>
      <c r="G18" s="5"/>
      <c r="H18" s="6"/>
      <c r="I18" s="6"/>
      <c r="J18" s="4" t="n">
        <v>1</v>
      </c>
      <c r="K18" s="7" t="n">
        <v>24500</v>
      </c>
      <c r="L18" s="8" t="n">
        <v>25</v>
      </c>
      <c r="M18" s="7" t="n">
        <v>18375</v>
      </c>
      <c r="N18" s="7" t="n">
        <v>12348</v>
      </c>
      <c r="O18" s="9" t="str">
        <f aca="false">IF(AND(N(G18)&gt;0,N(M18)&gt;0),G18/M18,"")</f>
        <v/>
      </c>
      <c r="P18" s="7" t="n">
        <v>24500</v>
      </c>
      <c r="Q18" s="7" t="n">
        <v>18375</v>
      </c>
      <c r="R18" s="4" t="s">
        <v>30</v>
      </c>
      <c r="S18" s="7" t="n">
        <v>19490</v>
      </c>
      <c r="T18" s="7" t="n">
        <v>24500</v>
      </c>
      <c r="U18" s="7" t="n">
        <v>19590</v>
      </c>
      <c r="V18" s="7" t="n">
        <v>24500</v>
      </c>
      <c r="W18" s="10" t="s">
        <v>31</v>
      </c>
      <c r="X18" s="10" t="s">
        <v>31</v>
      </c>
    </row>
    <row r="19" customFormat="false" ht="15" hidden="false" customHeight="true" outlineLevel="0" collapsed="false">
      <c r="A19" s="3" t="s">
        <v>97</v>
      </c>
      <c r="B19" s="3" t="s">
        <v>98</v>
      </c>
      <c r="C19" s="3" t="s">
        <v>99</v>
      </c>
      <c r="D19" s="4"/>
      <c r="E19" s="4" t="s">
        <v>100</v>
      </c>
      <c r="F19" s="4" t="s">
        <v>72</v>
      </c>
      <c r="G19" s="5"/>
      <c r="H19" s="6"/>
      <c r="I19" s="6"/>
      <c r="J19" s="4" t="n">
        <v>1</v>
      </c>
      <c r="K19" s="7" t="n">
        <v>25438</v>
      </c>
      <c r="L19" s="8" t="n">
        <v>25</v>
      </c>
      <c r="M19" s="7" t="n">
        <v>19078.5</v>
      </c>
      <c r="N19" s="7" t="n">
        <v>12820</v>
      </c>
      <c r="O19" s="9" t="str">
        <f aca="false">IF(AND(N(G19)&gt;0,N(M19)&gt;0),G19/M19,"")</f>
        <v/>
      </c>
      <c r="P19" s="7" t="n">
        <v>25438</v>
      </c>
      <c r="Q19" s="7" t="n">
        <v>19079</v>
      </c>
      <c r="R19" s="4" t="s">
        <v>30</v>
      </c>
      <c r="S19" s="7" t="n">
        <v>18390</v>
      </c>
      <c r="T19" s="7" t="n">
        <v>25438</v>
      </c>
      <c r="U19" s="7" t="n">
        <v>18490</v>
      </c>
      <c r="V19" s="7" t="n">
        <v>25438</v>
      </c>
      <c r="W19" s="10" t="s">
        <v>31</v>
      </c>
      <c r="X19" s="10" t="s">
        <v>31</v>
      </c>
    </row>
    <row r="20" customFormat="false" ht="15" hidden="false" customHeight="true" outlineLevel="0" collapsed="false">
      <c r="A20" s="3" t="s">
        <v>101</v>
      </c>
      <c r="B20" s="3" t="s">
        <v>102</v>
      </c>
      <c r="C20" s="3" t="s">
        <v>103</v>
      </c>
      <c r="D20" s="4"/>
      <c r="E20" s="4" t="s">
        <v>104</v>
      </c>
      <c r="F20" s="4" t="s">
        <v>72</v>
      </c>
      <c r="G20" s="5"/>
      <c r="H20" s="6"/>
      <c r="I20" s="6"/>
      <c r="J20" s="4" t="n">
        <v>1</v>
      </c>
      <c r="K20" s="7" t="n">
        <v>67000</v>
      </c>
      <c r="L20" s="8" t="n">
        <v>54</v>
      </c>
      <c r="M20" s="7" t="n">
        <v>30820</v>
      </c>
      <c r="N20" s="7" t="n">
        <v>20094</v>
      </c>
      <c r="O20" s="9" t="str">
        <f aca="false">IF(AND(N(G20)&gt;0,N(M20)&gt;0),G20/M20,"")</f>
        <v/>
      </c>
      <c r="P20" s="7" t="n">
        <v>67000</v>
      </c>
      <c r="Q20" s="7" t="n">
        <v>30820</v>
      </c>
      <c r="R20" s="4" t="s">
        <v>30</v>
      </c>
      <c r="S20" s="7" t="n">
        <v>54290</v>
      </c>
      <c r="T20" s="7" t="n">
        <v>67000</v>
      </c>
      <c r="U20" s="7" t="n">
        <v>54390</v>
      </c>
      <c r="V20" s="7" t="n">
        <v>67000</v>
      </c>
      <c r="W20" s="10" t="s">
        <v>31</v>
      </c>
      <c r="X20" s="10" t="s">
        <v>31</v>
      </c>
    </row>
    <row r="21" customFormat="false" ht="15" hidden="false" customHeight="true" outlineLevel="0" collapsed="false">
      <c r="A21" s="3" t="s">
        <v>105</v>
      </c>
      <c r="B21" s="3" t="s">
        <v>106</v>
      </c>
      <c r="C21" s="3" t="s">
        <v>107</v>
      </c>
      <c r="D21" s="4"/>
      <c r="E21" s="4" t="s">
        <v>108</v>
      </c>
      <c r="F21" s="4" t="s">
        <v>72</v>
      </c>
      <c r="G21" s="5"/>
      <c r="H21" s="6"/>
      <c r="I21" s="6"/>
      <c r="J21" s="4" t="n">
        <v>1</v>
      </c>
      <c r="K21" s="7" t="n">
        <v>19840</v>
      </c>
      <c r="L21" s="8" t="n">
        <v>20</v>
      </c>
      <c r="M21" s="7" t="n">
        <v>15872</v>
      </c>
      <c r="N21" s="7" t="n">
        <v>10665</v>
      </c>
      <c r="O21" s="9" t="str">
        <f aca="false">IF(AND(N(G21)&gt;0,N(M21)&gt;0),G21/M21,"")</f>
        <v/>
      </c>
      <c r="P21" s="7" t="n">
        <v>19840</v>
      </c>
      <c r="Q21" s="7" t="n">
        <v>15872</v>
      </c>
      <c r="R21" s="4" t="s">
        <v>30</v>
      </c>
      <c r="S21" s="7" t="n">
        <v>20290</v>
      </c>
      <c r="T21" s="7" t="n">
        <v>25390</v>
      </c>
      <c r="U21" s="7" t="n">
        <v>20490</v>
      </c>
      <c r="V21" s="7" t="n">
        <v>25390</v>
      </c>
      <c r="W21" s="10" t="s">
        <v>31</v>
      </c>
      <c r="X21" s="10" t="s">
        <v>31</v>
      </c>
    </row>
    <row r="22" customFormat="false" ht="15" hidden="false" customHeight="true" outlineLevel="0" collapsed="false">
      <c r="A22" s="3" t="s">
        <v>109</v>
      </c>
      <c r="B22" s="3" t="s">
        <v>110</v>
      </c>
      <c r="C22" s="3" t="s">
        <v>111</v>
      </c>
      <c r="D22" s="4"/>
      <c r="E22" s="4" t="s">
        <v>112</v>
      </c>
      <c r="F22" s="4" t="s">
        <v>72</v>
      </c>
      <c r="G22" s="11" t="n">
        <v>2600</v>
      </c>
      <c r="H22" s="12" t="s">
        <v>113</v>
      </c>
      <c r="I22" s="12" t="s">
        <v>114</v>
      </c>
      <c r="J22" s="4" t="n">
        <v>1</v>
      </c>
      <c r="K22" s="7" t="n">
        <v>24816</v>
      </c>
      <c r="L22" s="8" t="n">
        <v>45</v>
      </c>
      <c r="M22" s="7" t="n">
        <v>13648.8</v>
      </c>
      <c r="N22" s="7" t="n">
        <v>9171</v>
      </c>
      <c r="O22" s="9" t="n">
        <f aca="false">IF(AND(N(G22)&gt;0,N(M22)&gt;0),G22/M22,"")</f>
        <v>0.190492937108024</v>
      </c>
      <c r="P22" s="7" t="n">
        <v>24816</v>
      </c>
      <c r="Q22" s="7" t="n">
        <v>13649</v>
      </c>
      <c r="R22" s="4" t="s">
        <v>30</v>
      </c>
      <c r="S22" s="7" t="n">
        <v>19790</v>
      </c>
      <c r="T22" s="7" t="n">
        <v>24816</v>
      </c>
      <c r="U22" s="7" t="n">
        <v>19790</v>
      </c>
      <c r="V22" s="7" t="n">
        <v>24816</v>
      </c>
      <c r="W22" s="10" t="s">
        <v>31</v>
      </c>
      <c r="X22" s="10" t="s">
        <v>31</v>
      </c>
    </row>
    <row r="23" customFormat="false" ht="15" hidden="false" customHeight="true" outlineLevel="0" collapsed="false">
      <c r="A23" s="3" t="s">
        <v>115</v>
      </c>
      <c r="B23" s="3" t="s">
        <v>116</v>
      </c>
      <c r="C23" s="3" t="s">
        <v>117</v>
      </c>
      <c r="D23" s="4"/>
      <c r="E23" s="4" t="s">
        <v>118</v>
      </c>
      <c r="F23" s="4" t="s">
        <v>72</v>
      </c>
      <c r="G23" s="11" t="n">
        <v>2600</v>
      </c>
      <c r="H23" s="12" t="s">
        <v>113</v>
      </c>
      <c r="I23" s="12" t="s">
        <v>114</v>
      </c>
      <c r="J23" s="4" t="n">
        <v>1</v>
      </c>
      <c r="K23" s="7" t="n">
        <v>61440</v>
      </c>
      <c r="L23" s="8" t="n">
        <v>25</v>
      </c>
      <c r="M23" s="7" t="n">
        <v>46080</v>
      </c>
      <c r="N23" s="7" t="n">
        <v>30044</v>
      </c>
      <c r="O23" s="9" t="n">
        <f aca="false">IF(AND(N(G23)&gt;0,N(M23)&gt;0),G23/M23,"")</f>
        <v>0.0564236111111111</v>
      </c>
      <c r="P23" s="7" t="n">
        <v>61440</v>
      </c>
      <c r="Q23" s="7" t="n">
        <v>46080</v>
      </c>
      <c r="R23" s="4" t="s">
        <v>30</v>
      </c>
      <c r="S23" s="7" t="n">
        <v>44390</v>
      </c>
      <c r="T23" s="7" t="n">
        <v>61440</v>
      </c>
      <c r="U23" s="7" t="n">
        <v>44490</v>
      </c>
      <c r="V23" s="7" t="n">
        <v>61440</v>
      </c>
      <c r="W23" s="10" t="s">
        <v>31</v>
      </c>
      <c r="X23" s="10" t="s">
        <v>31</v>
      </c>
    </row>
    <row r="24" customFormat="false" ht="15" hidden="false" customHeight="true" outlineLevel="0" collapsed="false">
      <c r="A24" s="3" t="s">
        <v>119</v>
      </c>
      <c r="B24" s="3" t="s">
        <v>120</v>
      </c>
      <c r="C24" s="3" t="s">
        <v>121</v>
      </c>
      <c r="D24" s="4"/>
      <c r="E24" s="4" t="s">
        <v>122</v>
      </c>
      <c r="F24" s="4" t="s">
        <v>72</v>
      </c>
      <c r="G24" s="11" t="n">
        <v>2600</v>
      </c>
      <c r="H24" s="12" t="s">
        <v>113</v>
      </c>
      <c r="I24" s="12" t="s">
        <v>114</v>
      </c>
      <c r="J24" s="4" t="n">
        <v>1</v>
      </c>
      <c r="K24" s="7" t="n">
        <v>27528</v>
      </c>
      <c r="L24" s="8" t="n">
        <v>10</v>
      </c>
      <c r="M24" s="7" t="n">
        <v>24775.2</v>
      </c>
      <c r="N24" s="7" t="n">
        <v>16153</v>
      </c>
      <c r="O24" s="9" t="n">
        <f aca="false">IF(AND(N(G24)&gt;0,N(M24)&gt;0),G24/M24,"")</f>
        <v>0.10494365333075</v>
      </c>
      <c r="P24" s="7" t="n">
        <v>27528</v>
      </c>
      <c r="Q24" s="7" t="n">
        <v>24775</v>
      </c>
      <c r="R24" s="4" t="s">
        <v>30</v>
      </c>
      <c r="S24" s="7" t="n">
        <v>21490</v>
      </c>
      <c r="T24" s="7" t="n">
        <v>27528</v>
      </c>
      <c r="U24" s="7" t="n">
        <v>21590</v>
      </c>
      <c r="V24" s="7" t="n">
        <v>27528</v>
      </c>
      <c r="W24" s="10" t="s">
        <v>31</v>
      </c>
      <c r="X24" s="10" t="s">
        <v>31</v>
      </c>
    </row>
    <row r="25" customFormat="false" ht="15" hidden="false" customHeight="true" outlineLevel="0" collapsed="false">
      <c r="A25" s="3" t="s">
        <v>123</v>
      </c>
      <c r="B25" s="3" t="s">
        <v>124</v>
      </c>
      <c r="C25" s="3" t="s">
        <v>125</v>
      </c>
      <c r="D25" s="4"/>
      <c r="E25" s="4" t="s">
        <v>126</v>
      </c>
      <c r="F25" s="4" t="s">
        <v>72</v>
      </c>
      <c r="G25" s="11" t="n">
        <v>1150</v>
      </c>
      <c r="H25" s="12" t="s">
        <v>113</v>
      </c>
      <c r="I25" s="12" t="s">
        <v>114</v>
      </c>
      <c r="J25" s="4" t="n">
        <v>1</v>
      </c>
      <c r="K25" s="7" t="n">
        <v>32500</v>
      </c>
      <c r="L25" s="8" t="n">
        <v>46</v>
      </c>
      <c r="M25" s="7" t="n">
        <v>17550</v>
      </c>
      <c r="N25" s="7" t="n">
        <v>11793</v>
      </c>
      <c r="O25" s="9" t="n">
        <f aca="false">IF(AND(N(G25)&gt;0,N(M25)&gt;0),G25/M25,"")</f>
        <v>0.0655270655270655</v>
      </c>
      <c r="P25" s="7" t="n">
        <v>32500</v>
      </c>
      <c r="Q25" s="7" t="n">
        <v>17550</v>
      </c>
      <c r="R25" s="4" t="s">
        <v>30</v>
      </c>
      <c r="S25" s="7" t="n">
        <v>25390</v>
      </c>
      <c r="T25" s="7" t="n">
        <v>32500</v>
      </c>
      <c r="U25" s="7" t="n">
        <v>25490</v>
      </c>
      <c r="V25" s="7" t="n">
        <v>32500</v>
      </c>
      <c r="W25" s="10" t="s">
        <v>31</v>
      </c>
      <c r="X25" s="10" t="s">
        <v>31</v>
      </c>
    </row>
    <row r="26" customFormat="false" ht="15" hidden="false" customHeight="true" outlineLevel="0" collapsed="false">
      <c r="A26" s="3" t="s">
        <v>127</v>
      </c>
      <c r="B26" s="3" t="s">
        <v>128</v>
      </c>
      <c r="C26" s="3" t="s">
        <v>129</v>
      </c>
      <c r="D26" s="4"/>
      <c r="E26" s="4" t="s">
        <v>130</v>
      </c>
      <c r="F26" s="4" t="s">
        <v>72</v>
      </c>
      <c r="G26" s="11" t="n">
        <v>2200</v>
      </c>
      <c r="H26" s="12" t="s">
        <v>36</v>
      </c>
      <c r="I26" s="12" t="s">
        <v>37</v>
      </c>
      <c r="J26" s="4" t="n">
        <v>1</v>
      </c>
      <c r="K26" s="7" t="n">
        <v>20750</v>
      </c>
      <c r="L26" s="8" t="n">
        <v>0</v>
      </c>
      <c r="M26" s="7" t="n">
        <v>20750</v>
      </c>
      <c r="N26" s="7" t="n">
        <v>13529</v>
      </c>
      <c r="O26" s="9" t="n">
        <f aca="false">IF(AND(N(G26)&gt;0,N(M26)&gt;0),G26/M26,"")</f>
        <v>0.106024096385542</v>
      </c>
      <c r="P26" s="7" t="n">
        <v>20750</v>
      </c>
      <c r="Q26" s="7" t="n">
        <v>20750</v>
      </c>
      <c r="R26" s="4" t="s">
        <v>65</v>
      </c>
      <c r="S26" s="7"/>
      <c r="T26" s="7"/>
      <c r="U26" s="7"/>
      <c r="V26" s="7"/>
      <c r="W26" s="10" t="s">
        <v>31</v>
      </c>
      <c r="X26" s="10" t="s">
        <v>31</v>
      </c>
    </row>
    <row r="27" customFormat="false" ht="15" hidden="false" customHeight="true" outlineLevel="0" collapsed="false">
      <c r="A27" s="3" t="s">
        <v>131</v>
      </c>
      <c r="B27" s="3" t="s">
        <v>132</v>
      </c>
      <c r="C27" s="3" t="s">
        <v>133</v>
      </c>
      <c r="D27" s="4"/>
      <c r="E27" s="4" t="s">
        <v>134</v>
      </c>
      <c r="F27" s="4" t="s">
        <v>72</v>
      </c>
      <c r="G27" s="11" t="n">
        <v>2450</v>
      </c>
      <c r="H27" s="12" t="s">
        <v>113</v>
      </c>
      <c r="I27" s="12" t="s">
        <v>114</v>
      </c>
      <c r="J27" s="4" t="n">
        <v>1</v>
      </c>
      <c r="K27" s="7" t="n">
        <v>50320</v>
      </c>
      <c r="L27" s="8" t="n">
        <v>59</v>
      </c>
      <c r="M27" s="7" t="n">
        <v>20631.2</v>
      </c>
      <c r="N27" s="7" t="n">
        <v>13451</v>
      </c>
      <c r="O27" s="9" t="n">
        <f aca="false">IF(AND(N(G27)&gt;0,N(M27)&gt;0),G27/M27,"")</f>
        <v>0.118752181162511</v>
      </c>
      <c r="P27" s="7" t="n">
        <v>50320</v>
      </c>
      <c r="Q27" s="7" t="n">
        <v>20631</v>
      </c>
      <c r="R27" s="4" t="s">
        <v>30</v>
      </c>
      <c r="S27" s="7" t="n">
        <v>36390</v>
      </c>
      <c r="T27" s="7" t="n">
        <v>50320</v>
      </c>
      <c r="U27" s="7" t="n">
        <v>36490</v>
      </c>
      <c r="V27" s="7" t="n">
        <v>50320</v>
      </c>
      <c r="W27" s="10" t="s">
        <v>31</v>
      </c>
      <c r="X27" s="10" t="s">
        <v>31</v>
      </c>
    </row>
    <row r="28" customFormat="false" ht="15" hidden="false" customHeight="true" outlineLevel="0" collapsed="false">
      <c r="A28" s="3" t="s">
        <v>135</v>
      </c>
      <c r="B28" s="3" t="s">
        <v>136</v>
      </c>
      <c r="C28" s="3" t="s">
        <v>137</v>
      </c>
      <c r="D28" s="4"/>
      <c r="E28" s="4" t="s">
        <v>138</v>
      </c>
      <c r="F28" s="4" t="s">
        <v>72</v>
      </c>
      <c r="G28" s="11" t="n">
        <v>2450</v>
      </c>
      <c r="H28" s="12" t="s">
        <v>113</v>
      </c>
      <c r="I28" s="12" t="s">
        <v>114</v>
      </c>
      <c r="J28" s="4" t="n">
        <v>1</v>
      </c>
      <c r="K28" s="7" t="n">
        <v>80000</v>
      </c>
      <c r="L28" s="8" t="n">
        <v>58</v>
      </c>
      <c r="M28" s="7" t="n">
        <v>33600</v>
      </c>
      <c r="N28" s="7" t="n">
        <v>21907</v>
      </c>
      <c r="O28" s="9" t="n">
        <f aca="false">IF(AND(N(G28)&gt;0,N(M28)&gt;0),G28/M28,"")</f>
        <v>0.0729166666666667</v>
      </c>
      <c r="P28" s="7" t="n">
        <v>80000</v>
      </c>
      <c r="Q28" s="7" t="n">
        <v>33600</v>
      </c>
      <c r="R28" s="4" t="s">
        <v>30</v>
      </c>
      <c r="S28" s="7" t="n">
        <v>57790</v>
      </c>
      <c r="T28" s="7" t="n">
        <v>80000</v>
      </c>
      <c r="U28" s="7" t="n">
        <v>57990</v>
      </c>
      <c r="V28" s="7" t="n">
        <v>80000</v>
      </c>
      <c r="W28" s="10" t="s">
        <v>31</v>
      </c>
      <c r="X28" s="10" t="s">
        <v>31</v>
      </c>
    </row>
    <row r="29" customFormat="false" ht="15" hidden="false" customHeight="true" outlineLevel="0" collapsed="false">
      <c r="A29" s="3" t="s">
        <v>139</v>
      </c>
      <c r="B29" s="3" t="s">
        <v>140</v>
      </c>
      <c r="C29" s="3" t="s">
        <v>141</v>
      </c>
      <c r="D29" s="4"/>
      <c r="E29" s="4" t="s">
        <v>142</v>
      </c>
      <c r="F29" s="4" t="s">
        <v>72</v>
      </c>
      <c r="G29" s="11" t="n">
        <v>2450</v>
      </c>
      <c r="H29" s="12" t="s">
        <v>113</v>
      </c>
      <c r="I29" s="12" t="s">
        <v>114</v>
      </c>
      <c r="J29" s="4" t="n">
        <v>1</v>
      </c>
      <c r="K29" s="7" t="n">
        <v>31446</v>
      </c>
      <c r="L29" s="8" t="n">
        <v>50</v>
      </c>
      <c r="M29" s="7" t="n">
        <v>15723</v>
      </c>
      <c r="N29" s="7" t="n">
        <v>10565</v>
      </c>
      <c r="O29" s="9" t="n">
        <f aca="false">IF(AND(N(G29)&gt;0,N(M29)&gt;0),G29/M29,"")</f>
        <v>0.155822680150099</v>
      </c>
      <c r="P29" s="7" t="n">
        <v>31446</v>
      </c>
      <c r="Q29" s="7" t="n">
        <v>15723</v>
      </c>
      <c r="R29" s="4" t="s">
        <v>30</v>
      </c>
      <c r="S29" s="7" t="n">
        <v>22790</v>
      </c>
      <c r="T29" s="7" t="n">
        <v>31446</v>
      </c>
      <c r="U29" s="7" t="n">
        <v>22790</v>
      </c>
      <c r="V29" s="7" t="n">
        <v>31446</v>
      </c>
      <c r="W29" s="10" t="s">
        <v>31</v>
      </c>
      <c r="X29" s="10" t="s">
        <v>31</v>
      </c>
    </row>
    <row r="30" customFormat="false" ht="15" hidden="false" customHeight="true" outlineLevel="0" collapsed="false">
      <c r="A30" s="3" t="s">
        <v>143</v>
      </c>
      <c r="B30" s="3" t="s">
        <v>144</v>
      </c>
      <c r="C30" s="3" t="s">
        <v>145</v>
      </c>
      <c r="D30" s="4"/>
      <c r="E30" s="4" t="s">
        <v>146</v>
      </c>
      <c r="F30" s="4" t="s">
        <v>72</v>
      </c>
      <c r="G30" s="5"/>
      <c r="H30" s="6"/>
      <c r="I30" s="6"/>
      <c r="J30" s="4" t="n">
        <v>1</v>
      </c>
      <c r="K30" s="7" t="n">
        <v>55980</v>
      </c>
      <c r="L30" s="8" t="n">
        <v>30</v>
      </c>
      <c r="M30" s="7" t="n">
        <v>39186</v>
      </c>
      <c r="N30" s="7" t="n">
        <v>25549</v>
      </c>
      <c r="O30" s="9" t="str">
        <f aca="false">IF(AND(N(G30)&gt;0,N(M30)&gt;0),G30/M30,"")</f>
        <v/>
      </c>
      <c r="P30" s="7" t="n">
        <v>55980</v>
      </c>
      <c r="Q30" s="7" t="n">
        <v>39186</v>
      </c>
      <c r="R30" s="4" t="s">
        <v>30</v>
      </c>
      <c r="S30" s="7" t="n">
        <v>40940</v>
      </c>
      <c r="T30" s="7" t="n">
        <v>50382</v>
      </c>
      <c r="U30" s="7" t="n">
        <v>38990</v>
      </c>
      <c r="V30" s="7" t="n">
        <v>50382</v>
      </c>
      <c r="W30" s="10" t="s">
        <v>31</v>
      </c>
      <c r="X30" s="10" t="s">
        <v>31</v>
      </c>
    </row>
    <row r="31" customFormat="false" ht="15" hidden="false" customHeight="true" outlineLevel="0" collapsed="false">
      <c r="A31" s="3" t="s">
        <v>147</v>
      </c>
      <c r="B31" s="3" t="s">
        <v>148</v>
      </c>
      <c r="C31" s="3" t="s">
        <v>149</v>
      </c>
      <c r="D31" s="4"/>
      <c r="E31" s="4" t="s">
        <v>150</v>
      </c>
      <c r="F31" s="4" t="s">
        <v>72</v>
      </c>
      <c r="G31" s="11" t="n">
        <v>2450</v>
      </c>
      <c r="H31" s="12" t="s">
        <v>113</v>
      </c>
      <c r="I31" s="12" t="s">
        <v>114</v>
      </c>
      <c r="J31" s="4" t="n">
        <v>1</v>
      </c>
      <c r="K31" s="7" t="n">
        <v>67954</v>
      </c>
      <c r="L31" s="8" t="n">
        <v>65</v>
      </c>
      <c r="M31" s="7" t="n">
        <v>23783.9</v>
      </c>
      <c r="N31" s="7" t="n">
        <v>15507</v>
      </c>
      <c r="O31" s="9" t="n">
        <f aca="false">IF(AND(N(G31)&gt;0,N(M31)&gt;0),G31/M31,"")</f>
        <v>0.103010860287842</v>
      </c>
      <c r="P31" s="7" t="n">
        <v>67954</v>
      </c>
      <c r="Q31" s="7" t="n">
        <v>23784</v>
      </c>
      <c r="R31" s="4" t="s">
        <v>30</v>
      </c>
      <c r="S31" s="7" t="n">
        <v>34390</v>
      </c>
      <c r="T31" s="7" t="n">
        <v>67954</v>
      </c>
      <c r="U31" s="7" t="n">
        <v>34490</v>
      </c>
      <c r="V31" s="7" t="n">
        <v>67954</v>
      </c>
      <c r="W31" s="10" t="s">
        <v>31</v>
      </c>
      <c r="X31" s="10" t="s">
        <v>31</v>
      </c>
    </row>
    <row r="32" customFormat="false" ht="15" hidden="false" customHeight="true" outlineLevel="0" collapsed="false">
      <c r="A32" s="3" t="s">
        <v>151</v>
      </c>
      <c r="B32" s="3" t="s">
        <v>152</v>
      </c>
      <c r="C32" s="3" t="s">
        <v>153</v>
      </c>
      <c r="D32" s="4"/>
      <c r="E32" s="4" t="s">
        <v>154</v>
      </c>
      <c r="F32" s="4" t="s">
        <v>72</v>
      </c>
      <c r="G32" s="5"/>
      <c r="H32" s="6"/>
      <c r="I32" s="6"/>
      <c r="J32" s="4" t="n">
        <v>1</v>
      </c>
      <c r="K32" s="7" t="n">
        <v>4600</v>
      </c>
      <c r="L32" s="8" t="n">
        <v>2</v>
      </c>
      <c r="M32" s="7" t="n">
        <v>4508</v>
      </c>
      <c r="N32" s="7" t="n">
        <v>2984</v>
      </c>
      <c r="O32" s="9" t="str">
        <f aca="false">IF(AND(N(G32)&gt;0,N(M32)&gt;0),G32/M32,"")</f>
        <v/>
      </c>
      <c r="P32" s="7"/>
      <c r="Q32" s="7"/>
      <c r="R32" s="4" t="s">
        <v>155</v>
      </c>
      <c r="S32" s="7"/>
      <c r="T32" s="7"/>
      <c r="U32" s="7"/>
      <c r="V32" s="7"/>
      <c r="W32" s="10" t="s">
        <v>31</v>
      </c>
      <c r="X32" s="4"/>
    </row>
    <row r="33" customFormat="false" ht="15" hidden="false" customHeight="true" outlineLevel="0" collapsed="false">
      <c r="A33" s="3" t="s">
        <v>156</v>
      </c>
      <c r="B33" s="3" t="s">
        <v>157</v>
      </c>
      <c r="C33" s="3" t="s">
        <v>158</v>
      </c>
      <c r="D33" s="4"/>
      <c r="E33" s="4" t="s">
        <v>159</v>
      </c>
      <c r="F33" s="4" t="s">
        <v>72</v>
      </c>
      <c r="G33" s="5"/>
      <c r="H33" s="6"/>
      <c r="I33" s="6"/>
      <c r="J33" s="4" t="n">
        <v>1</v>
      </c>
      <c r="K33" s="7" t="n">
        <v>6000</v>
      </c>
      <c r="L33" s="8" t="n">
        <v>35</v>
      </c>
      <c r="M33" s="7" t="n">
        <v>3900</v>
      </c>
      <c r="N33" s="7" t="n">
        <v>2581</v>
      </c>
      <c r="O33" s="9" t="str">
        <f aca="false">IF(AND(N(G33)&gt;0,N(M33)&gt;0),G33/M33,"")</f>
        <v/>
      </c>
      <c r="P33" s="7"/>
      <c r="Q33" s="7"/>
      <c r="R33" s="4" t="s">
        <v>155</v>
      </c>
      <c r="S33" s="7"/>
      <c r="T33" s="7"/>
      <c r="U33" s="7"/>
      <c r="V33" s="7"/>
      <c r="W33" s="10" t="s">
        <v>31</v>
      </c>
      <c r="X33" s="4"/>
    </row>
    <row r="34" customFormat="false" ht="15" hidden="false" customHeight="true" outlineLevel="0" collapsed="false">
      <c r="A34" s="3" t="s">
        <v>160</v>
      </c>
      <c r="B34" s="3" t="s">
        <v>161</v>
      </c>
      <c r="C34" s="3" t="s">
        <v>162</v>
      </c>
      <c r="D34" s="4"/>
      <c r="E34" s="4" t="s">
        <v>163</v>
      </c>
      <c r="F34" s="4" t="s">
        <v>72</v>
      </c>
      <c r="G34" s="5"/>
      <c r="H34" s="6"/>
      <c r="I34" s="6"/>
      <c r="J34" s="4" t="n">
        <v>1</v>
      </c>
      <c r="K34" s="7" t="n">
        <v>7500</v>
      </c>
      <c r="L34" s="8" t="n">
        <v>33</v>
      </c>
      <c r="M34" s="7" t="n">
        <v>5025</v>
      </c>
      <c r="N34" s="7" t="n">
        <v>3326</v>
      </c>
      <c r="O34" s="9" t="str">
        <f aca="false">IF(AND(N(G34)&gt;0,N(M34)&gt;0),G34/M34,"")</f>
        <v/>
      </c>
      <c r="P34" s="7"/>
      <c r="Q34" s="7"/>
      <c r="R34" s="4" t="s">
        <v>155</v>
      </c>
      <c r="S34" s="7"/>
      <c r="T34" s="7"/>
      <c r="U34" s="7"/>
      <c r="V34" s="7"/>
      <c r="W34" s="10" t="s">
        <v>31</v>
      </c>
      <c r="X34" s="4"/>
    </row>
    <row r="35" customFormat="false" ht="15" hidden="false" customHeight="true" outlineLevel="0" collapsed="false">
      <c r="A35" s="3" t="s">
        <v>164</v>
      </c>
      <c r="B35" s="3" t="s">
        <v>165</v>
      </c>
      <c r="C35" s="3" t="s">
        <v>166</v>
      </c>
      <c r="D35" s="4"/>
      <c r="E35" s="4" t="s">
        <v>167</v>
      </c>
      <c r="F35" s="4" t="s">
        <v>72</v>
      </c>
      <c r="G35" s="5"/>
      <c r="H35" s="6"/>
      <c r="I35" s="6"/>
      <c r="J35" s="4" t="n">
        <v>1</v>
      </c>
      <c r="K35" s="7" t="n">
        <v>13050</v>
      </c>
      <c r="L35" s="8" t="n">
        <v>70</v>
      </c>
      <c r="M35" s="7" t="n">
        <v>3915</v>
      </c>
      <c r="N35" s="7" t="n">
        <v>2591</v>
      </c>
      <c r="O35" s="9" t="str">
        <f aca="false">IF(AND(N(G35)&gt;0,N(M35)&gt;0),G35/M35,"")</f>
        <v/>
      </c>
      <c r="P35" s="7" t="n">
        <v>13050</v>
      </c>
      <c r="Q35" s="7" t="n">
        <v>3915</v>
      </c>
      <c r="R35" s="4" t="s">
        <v>65</v>
      </c>
      <c r="S35" s="7"/>
      <c r="T35" s="7"/>
      <c r="U35" s="7"/>
      <c r="V35" s="7"/>
      <c r="W35" s="10" t="s">
        <v>31</v>
      </c>
      <c r="X35" s="10" t="s">
        <v>31</v>
      </c>
    </row>
    <row r="36" customFormat="false" ht="15" hidden="false" customHeight="true" outlineLevel="0" collapsed="false">
      <c r="A36" s="3" t="s">
        <v>168</v>
      </c>
      <c r="B36" s="3" t="s">
        <v>169</v>
      </c>
      <c r="C36" s="3" t="s">
        <v>170</v>
      </c>
      <c r="D36" s="4"/>
      <c r="E36" s="4" t="s">
        <v>171</v>
      </c>
      <c r="F36" s="4" t="s">
        <v>72</v>
      </c>
      <c r="G36" s="5"/>
      <c r="H36" s="6"/>
      <c r="I36" s="6"/>
      <c r="J36" s="4" t="n">
        <v>1</v>
      </c>
      <c r="K36" s="7" t="n">
        <v>9900</v>
      </c>
      <c r="L36" s="8" t="n">
        <v>51</v>
      </c>
      <c r="M36" s="7" t="n">
        <v>4851</v>
      </c>
      <c r="N36" s="7" t="n">
        <v>3211</v>
      </c>
      <c r="O36" s="9" t="str">
        <f aca="false">IF(AND(N(G36)&gt;0,N(M36)&gt;0),G36/M36,"")</f>
        <v/>
      </c>
      <c r="P36" s="7"/>
      <c r="Q36" s="7"/>
      <c r="R36" s="4" t="s">
        <v>155</v>
      </c>
      <c r="S36" s="7"/>
      <c r="T36" s="7"/>
      <c r="U36" s="7"/>
      <c r="V36" s="7"/>
      <c r="W36" s="10" t="s">
        <v>31</v>
      </c>
      <c r="X36" s="4"/>
    </row>
    <row r="37" customFormat="false" ht="15" hidden="false" customHeight="true" outlineLevel="0" collapsed="false">
      <c r="A37" s="3" t="s">
        <v>172</v>
      </c>
      <c r="B37" s="3" t="s">
        <v>173</v>
      </c>
      <c r="C37" s="3" t="s">
        <v>174</v>
      </c>
      <c r="D37" s="4"/>
      <c r="E37" s="4" t="s">
        <v>175</v>
      </c>
      <c r="F37" s="4" t="s">
        <v>72</v>
      </c>
      <c r="G37" s="11" t="n">
        <v>2760</v>
      </c>
      <c r="H37" s="12" t="s">
        <v>36</v>
      </c>
      <c r="I37" s="12" t="s">
        <v>37</v>
      </c>
      <c r="J37" s="4" t="n">
        <v>1</v>
      </c>
      <c r="K37" s="7" t="n">
        <v>31395</v>
      </c>
      <c r="L37" s="8" t="n">
        <v>44</v>
      </c>
      <c r="M37" s="7" t="n">
        <v>17581.2</v>
      </c>
      <c r="N37" s="7" t="n">
        <v>11814</v>
      </c>
      <c r="O37" s="9" t="n">
        <f aca="false">IF(AND(N(G37)&gt;0,N(M37)&gt;0),G37/M37,"")</f>
        <v>0.156985871271586</v>
      </c>
      <c r="P37" s="7" t="n">
        <v>31395</v>
      </c>
      <c r="Q37" s="7" t="n">
        <v>17581</v>
      </c>
      <c r="R37" s="4" t="s">
        <v>30</v>
      </c>
      <c r="S37" s="7" t="n">
        <v>25490</v>
      </c>
      <c r="T37" s="7" t="n">
        <v>31395</v>
      </c>
      <c r="U37" s="7" t="n">
        <v>25490</v>
      </c>
      <c r="V37" s="7" t="n">
        <v>31395</v>
      </c>
      <c r="W37" s="10" t="s">
        <v>31</v>
      </c>
      <c r="X37" s="10" t="s">
        <v>31</v>
      </c>
    </row>
    <row r="38" customFormat="false" ht="15" hidden="false" customHeight="true" outlineLevel="0" collapsed="false">
      <c r="A38" s="3" t="s">
        <v>176</v>
      </c>
      <c r="B38" s="3" t="s">
        <v>177</v>
      </c>
      <c r="C38" s="3" t="s">
        <v>178</v>
      </c>
      <c r="D38" s="4"/>
      <c r="E38" s="4" t="s">
        <v>179</v>
      </c>
      <c r="F38" s="4" t="s">
        <v>72</v>
      </c>
      <c r="G38" s="11" t="n">
        <v>2800</v>
      </c>
      <c r="H38" s="12" t="s">
        <v>113</v>
      </c>
      <c r="I38" s="12" t="s">
        <v>114</v>
      </c>
      <c r="J38" s="4" t="n">
        <v>1</v>
      </c>
      <c r="K38" s="7" t="n">
        <v>73160</v>
      </c>
      <c r="L38" s="8" t="n">
        <v>43</v>
      </c>
      <c r="M38" s="7" t="n">
        <v>41701.2</v>
      </c>
      <c r="N38" s="7" t="n">
        <v>27189</v>
      </c>
      <c r="O38" s="9" t="n">
        <f aca="false">IF(AND(N(G38)&gt;0,N(M38)&gt;0),G38/M38,"")</f>
        <v>0.0671443507620884</v>
      </c>
      <c r="P38" s="7" t="n">
        <v>73160</v>
      </c>
      <c r="Q38" s="7" t="n">
        <v>41701</v>
      </c>
      <c r="R38" s="4" t="s">
        <v>30</v>
      </c>
      <c r="S38" s="7" t="n">
        <v>52890</v>
      </c>
      <c r="T38" s="7" t="n">
        <v>73160</v>
      </c>
      <c r="U38" s="7" t="n">
        <v>52990</v>
      </c>
      <c r="V38" s="7" t="n">
        <v>73160</v>
      </c>
      <c r="W38" s="10" t="s">
        <v>31</v>
      </c>
      <c r="X38" s="10" t="s">
        <v>31</v>
      </c>
    </row>
    <row r="39" customFormat="false" ht="15" hidden="false" customHeight="true" outlineLevel="0" collapsed="false">
      <c r="A39" s="3" t="s">
        <v>180</v>
      </c>
      <c r="B39" s="3" t="s">
        <v>181</v>
      </c>
      <c r="C39" s="3" t="s">
        <v>182</v>
      </c>
      <c r="D39" s="4"/>
      <c r="E39" s="4" t="s">
        <v>183</v>
      </c>
      <c r="F39" s="4" t="s">
        <v>72</v>
      </c>
      <c r="G39" s="11" t="n">
        <v>2800</v>
      </c>
      <c r="H39" s="12" t="s">
        <v>113</v>
      </c>
      <c r="I39" s="12" t="s">
        <v>114</v>
      </c>
      <c r="J39" s="4" t="n">
        <v>1</v>
      </c>
      <c r="K39" s="7" t="n">
        <v>35210</v>
      </c>
      <c r="L39" s="8" t="n">
        <v>50</v>
      </c>
      <c r="M39" s="7" t="n">
        <v>17605</v>
      </c>
      <c r="N39" s="7" t="n">
        <v>11830</v>
      </c>
      <c r="O39" s="9" t="n">
        <f aca="false">IF(AND(N(G39)&gt;0,N(M39)&gt;0),G39/M39,"")</f>
        <v>0.159045725646123</v>
      </c>
      <c r="P39" s="7" t="n">
        <v>35210</v>
      </c>
      <c r="Q39" s="7" t="n">
        <v>17605</v>
      </c>
      <c r="R39" s="4" t="s">
        <v>30</v>
      </c>
      <c r="S39" s="7" t="n">
        <v>23990</v>
      </c>
      <c r="T39" s="7" t="n">
        <v>35210</v>
      </c>
      <c r="U39" s="7" t="n">
        <v>23990</v>
      </c>
      <c r="V39" s="7" t="n">
        <v>35210</v>
      </c>
      <c r="W39" s="10" t="s">
        <v>31</v>
      </c>
      <c r="X39" s="10" t="s">
        <v>31</v>
      </c>
    </row>
    <row r="40" customFormat="false" ht="15" hidden="false" customHeight="true" outlineLevel="0" collapsed="false">
      <c r="A40" s="3" t="s">
        <v>184</v>
      </c>
      <c r="B40" s="3" t="s">
        <v>185</v>
      </c>
      <c r="C40" s="3" t="s">
        <v>186</v>
      </c>
      <c r="D40" s="4"/>
      <c r="E40" s="4" t="s">
        <v>187</v>
      </c>
      <c r="F40" s="4" t="s">
        <v>72</v>
      </c>
      <c r="G40" s="11" t="n">
        <v>2800</v>
      </c>
      <c r="H40" s="12" t="s">
        <v>113</v>
      </c>
      <c r="I40" s="12" t="s">
        <v>114</v>
      </c>
      <c r="J40" s="4" t="n">
        <v>1</v>
      </c>
      <c r="K40" s="7" t="n">
        <v>33120</v>
      </c>
      <c r="L40" s="8" t="n">
        <v>28</v>
      </c>
      <c r="M40" s="7" t="n">
        <v>23846.4</v>
      </c>
      <c r="N40" s="7" t="n">
        <v>15547</v>
      </c>
      <c r="O40" s="9" t="n">
        <f aca="false">IF(AND(N(G40)&gt;0,N(M40)&gt;0),G40/M40,"")</f>
        <v>0.117418142780462</v>
      </c>
      <c r="P40" s="7" t="n">
        <v>33120</v>
      </c>
      <c r="Q40" s="7" t="n">
        <v>23846</v>
      </c>
      <c r="R40" s="4" t="s">
        <v>30</v>
      </c>
      <c r="S40" s="7" t="n">
        <v>26390</v>
      </c>
      <c r="T40" s="7" t="n">
        <v>33120</v>
      </c>
      <c r="U40" s="7" t="n">
        <v>26390</v>
      </c>
      <c r="V40" s="7" t="n">
        <v>33120</v>
      </c>
      <c r="W40" s="10" t="s">
        <v>31</v>
      </c>
      <c r="X40" s="10" t="s">
        <v>31</v>
      </c>
    </row>
    <row r="41" customFormat="false" ht="15" hidden="false" customHeight="true" outlineLevel="0" collapsed="false">
      <c r="A41" s="3" t="s">
        <v>188</v>
      </c>
      <c r="B41" s="3" t="s">
        <v>189</v>
      </c>
      <c r="C41" s="3" t="s">
        <v>190</v>
      </c>
      <c r="D41" s="4"/>
      <c r="E41" s="4" t="s">
        <v>191</v>
      </c>
      <c r="F41" s="4" t="s">
        <v>72</v>
      </c>
      <c r="G41" s="11" t="n">
        <v>2800</v>
      </c>
      <c r="H41" s="12" t="s">
        <v>113</v>
      </c>
      <c r="I41" s="12" t="s">
        <v>114</v>
      </c>
      <c r="J41" s="4" t="n">
        <v>1</v>
      </c>
      <c r="K41" s="7" t="n">
        <v>29716</v>
      </c>
      <c r="L41" s="8" t="n">
        <v>25</v>
      </c>
      <c r="M41" s="7" t="n">
        <v>22287</v>
      </c>
      <c r="N41" s="7" t="n">
        <v>14531</v>
      </c>
      <c r="O41" s="9" t="n">
        <f aca="false">IF(AND(N(G41)&gt;0,N(M41)&gt;0),G41/M41,"")</f>
        <v>0.125633777538475</v>
      </c>
      <c r="P41" s="7" t="n">
        <v>29716</v>
      </c>
      <c r="Q41" s="7" t="n">
        <v>22287</v>
      </c>
      <c r="R41" s="4" t="s">
        <v>30</v>
      </c>
      <c r="S41" s="7" t="n">
        <v>21490</v>
      </c>
      <c r="T41" s="7" t="n">
        <v>29716</v>
      </c>
      <c r="U41" s="7" t="n">
        <v>21590</v>
      </c>
      <c r="V41" s="7" t="n">
        <v>29716</v>
      </c>
      <c r="W41" s="10" t="s">
        <v>31</v>
      </c>
      <c r="X41" s="10" t="s">
        <v>31</v>
      </c>
    </row>
    <row r="42" customFormat="false" ht="15" hidden="false" customHeight="true" outlineLevel="0" collapsed="false">
      <c r="A42" s="3" t="s">
        <v>192</v>
      </c>
      <c r="B42" s="3" t="s">
        <v>193</v>
      </c>
      <c r="C42" s="3" t="s">
        <v>194</v>
      </c>
      <c r="D42" s="4"/>
      <c r="E42" s="4" t="s">
        <v>195</v>
      </c>
      <c r="F42" s="4" t="s">
        <v>72</v>
      </c>
      <c r="G42" s="11" t="n">
        <v>2800</v>
      </c>
      <c r="H42" s="12" t="s">
        <v>113</v>
      </c>
      <c r="I42" s="12" t="s">
        <v>114</v>
      </c>
      <c r="J42" s="4" t="n">
        <v>1</v>
      </c>
      <c r="K42" s="7" t="n">
        <v>40800</v>
      </c>
      <c r="L42" s="8" t="n">
        <v>24</v>
      </c>
      <c r="M42" s="7" t="n">
        <v>31008</v>
      </c>
      <c r="N42" s="7" t="n">
        <v>20217</v>
      </c>
      <c r="O42" s="9" t="n">
        <f aca="false">IF(AND(N(G42)&gt;0,N(M42)&gt;0),G42/M42,"")</f>
        <v>0.0902992776057792</v>
      </c>
      <c r="P42" s="7" t="n">
        <v>40800</v>
      </c>
      <c r="Q42" s="7" t="n">
        <v>31008</v>
      </c>
      <c r="R42" s="4" t="s">
        <v>30</v>
      </c>
      <c r="S42" s="7" t="n">
        <v>31290</v>
      </c>
      <c r="T42" s="7" t="n">
        <v>40800</v>
      </c>
      <c r="U42" s="7" t="n">
        <v>31390</v>
      </c>
      <c r="V42" s="7" t="n">
        <v>40800</v>
      </c>
      <c r="W42" s="10" t="s">
        <v>31</v>
      </c>
      <c r="X42" s="10" t="s">
        <v>31</v>
      </c>
    </row>
    <row r="43" customFormat="false" ht="15" hidden="false" customHeight="true" outlineLevel="0" collapsed="false">
      <c r="A43" s="3" t="s">
        <v>196</v>
      </c>
      <c r="B43" s="3" t="s">
        <v>197</v>
      </c>
      <c r="C43" s="3" t="s">
        <v>198</v>
      </c>
      <c r="D43" s="4"/>
      <c r="E43" s="4" t="s">
        <v>199</v>
      </c>
      <c r="F43" s="4" t="s">
        <v>72</v>
      </c>
      <c r="G43" s="5"/>
      <c r="H43" s="6"/>
      <c r="I43" s="6"/>
      <c r="J43" s="4" t="n">
        <v>1</v>
      </c>
      <c r="K43" s="7" t="n">
        <v>18500</v>
      </c>
      <c r="L43" s="8" t="n">
        <v>33</v>
      </c>
      <c r="M43" s="7" t="n">
        <v>12395</v>
      </c>
      <c r="N43" s="7" t="n">
        <v>8329</v>
      </c>
      <c r="O43" s="9" t="str">
        <f aca="false">IF(AND(N(G43)&gt;0,N(M43)&gt;0),G43/M43,"")</f>
        <v/>
      </c>
      <c r="P43" s="7"/>
      <c r="Q43" s="7"/>
      <c r="R43" s="4" t="s">
        <v>155</v>
      </c>
      <c r="S43" s="7"/>
      <c r="T43" s="7"/>
      <c r="U43" s="7"/>
      <c r="V43" s="7"/>
      <c r="W43" s="10" t="s">
        <v>31</v>
      </c>
      <c r="X43" s="4"/>
    </row>
    <row r="44" customFormat="false" ht="15" hidden="false" customHeight="true" outlineLevel="0" collapsed="false">
      <c r="A44" s="3" t="s">
        <v>200</v>
      </c>
      <c r="B44" s="3" t="s">
        <v>201</v>
      </c>
      <c r="C44" s="3" t="s">
        <v>202</v>
      </c>
      <c r="D44" s="4"/>
      <c r="E44" s="4" t="s">
        <v>203</v>
      </c>
      <c r="F44" s="4" t="s">
        <v>72</v>
      </c>
      <c r="G44" s="11" t="n">
        <v>2800</v>
      </c>
      <c r="H44" s="12" t="s">
        <v>113</v>
      </c>
      <c r="I44" s="12" t="s">
        <v>114</v>
      </c>
      <c r="J44" s="4" t="n">
        <v>1</v>
      </c>
      <c r="K44" s="7" t="n">
        <v>31150</v>
      </c>
      <c r="L44" s="8" t="n">
        <v>46</v>
      </c>
      <c r="M44" s="7" t="n">
        <v>16821</v>
      </c>
      <c r="N44" s="7" t="n">
        <v>11303</v>
      </c>
      <c r="O44" s="9" t="n">
        <f aca="false">IF(AND(N(G44)&gt;0,N(M44)&gt;0),G44/M44,"")</f>
        <v>0.166458593424886</v>
      </c>
      <c r="P44" s="7" t="n">
        <v>31150</v>
      </c>
      <c r="Q44" s="7" t="n">
        <v>16821</v>
      </c>
      <c r="R44" s="4" t="s">
        <v>30</v>
      </c>
      <c r="S44" s="7" t="n">
        <v>24390</v>
      </c>
      <c r="T44" s="7" t="n">
        <v>31150</v>
      </c>
      <c r="U44" s="7" t="n">
        <v>24390</v>
      </c>
      <c r="V44" s="7" t="n">
        <v>31150</v>
      </c>
      <c r="W44" s="10" t="s">
        <v>31</v>
      </c>
      <c r="X44" s="10" t="s">
        <v>31</v>
      </c>
    </row>
    <row r="45" customFormat="false" ht="15" hidden="false" customHeight="true" outlineLevel="0" collapsed="false">
      <c r="A45" s="3" t="s">
        <v>204</v>
      </c>
      <c r="B45" s="3" t="s">
        <v>205</v>
      </c>
      <c r="C45" s="3" t="s">
        <v>206</v>
      </c>
      <c r="D45" s="4"/>
      <c r="E45" s="4" t="s">
        <v>207</v>
      </c>
      <c r="F45" s="4" t="s">
        <v>72</v>
      </c>
      <c r="G45" s="5"/>
      <c r="H45" s="6"/>
      <c r="I45" s="6"/>
      <c r="J45" s="4" t="n">
        <v>1</v>
      </c>
      <c r="K45" s="7" t="n">
        <v>48240</v>
      </c>
      <c r="L45" s="8" t="n">
        <v>52</v>
      </c>
      <c r="M45" s="7" t="n">
        <v>23155.2</v>
      </c>
      <c r="N45" s="7" t="n">
        <v>15097</v>
      </c>
      <c r="O45" s="9" t="str">
        <f aca="false">IF(AND(N(G45)&gt;0,N(M45)&gt;0),G45/M45,"")</f>
        <v/>
      </c>
      <c r="P45" s="7" t="n">
        <v>48240</v>
      </c>
      <c r="Q45" s="7" t="n">
        <v>23155</v>
      </c>
      <c r="R45" s="4" t="s">
        <v>65</v>
      </c>
      <c r="S45" s="7" t="n">
        <v>34890</v>
      </c>
      <c r="T45" s="7" t="n">
        <v>48240</v>
      </c>
      <c r="U45" s="7" t="n">
        <v>34990</v>
      </c>
      <c r="V45" s="7" t="n">
        <v>48240</v>
      </c>
      <c r="W45" s="10" t="s">
        <v>31</v>
      </c>
      <c r="X45" s="10" t="s">
        <v>31</v>
      </c>
    </row>
    <row r="46" customFormat="false" ht="15" hidden="false" customHeight="true" outlineLevel="0" collapsed="false">
      <c r="A46" s="3" t="s">
        <v>208</v>
      </c>
      <c r="B46" s="3" t="s">
        <v>209</v>
      </c>
      <c r="C46" s="3" t="s">
        <v>210</v>
      </c>
      <c r="D46" s="4"/>
      <c r="E46" s="4" t="s">
        <v>211</v>
      </c>
      <c r="F46" s="4" t="s">
        <v>72</v>
      </c>
      <c r="G46" s="5"/>
      <c r="H46" s="6"/>
      <c r="I46" s="6"/>
      <c r="J46" s="4" t="n">
        <v>1</v>
      </c>
      <c r="K46" s="7" t="n">
        <v>60625</v>
      </c>
      <c r="L46" s="8" t="n">
        <v>50</v>
      </c>
      <c r="M46" s="7" t="n">
        <v>30312.5</v>
      </c>
      <c r="N46" s="7" t="n">
        <v>19763</v>
      </c>
      <c r="O46" s="9" t="str">
        <f aca="false">IF(AND(N(G46)&gt;0,N(M46)&gt;0),G46/M46,"")</f>
        <v/>
      </c>
      <c r="P46" s="7" t="n">
        <v>60625</v>
      </c>
      <c r="Q46" s="7" t="n">
        <v>30313</v>
      </c>
      <c r="R46" s="4" t="s">
        <v>30</v>
      </c>
      <c r="S46" s="7" t="n">
        <v>43990</v>
      </c>
      <c r="T46" s="7" t="n">
        <v>60625</v>
      </c>
      <c r="U46" s="7" t="n">
        <v>44190</v>
      </c>
      <c r="V46" s="7" t="n">
        <v>60625</v>
      </c>
      <c r="W46" s="10" t="s">
        <v>31</v>
      </c>
      <c r="X46" s="10" t="s">
        <v>31</v>
      </c>
    </row>
    <row r="47" customFormat="false" ht="15" hidden="false" customHeight="true" outlineLevel="0" collapsed="false">
      <c r="A47" s="3" t="s">
        <v>212</v>
      </c>
      <c r="B47" s="3" t="s">
        <v>213</v>
      </c>
      <c r="C47" s="3" t="s">
        <v>214</v>
      </c>
      <c r="D47" s="4"/>
      <c r="E47" s="4" t="s">
        <v>215</v>
      </c>
      <c r="F47" s="4" t="s">
        <v>72</v>
      </c>
      <c r="G47" s="5"/>
      <c r="H47" s="6"/>
      <c r="I47" s="6"/>
      <c r="J47" s="4" t="n">
        <v>1</v>
      </c>
      <c r="K47" s="7" t="n">
        <v>25000</v>
      </c>
      <c r="L47" s="8" t="n">
        <v>15</v>
      </c>
      <c r="M47" s="7" t="n">
        <v>21250</v>
      </c>
      <c r="N47" s="7" t="n">
        <v>13855</v>
      </c>
      <c r="O47" s="9" t="str">
        <f aca="false">IF(AND(N(G47)&gt;0,N(M47)&gt;0),G47/M47,"")</f>
        <v/>
      </c>
      <c r="P47" s="7"/>
      <c r="Q47" s="7"/>
      <c r="R47" s="4" t="s">
        <v>155</v>
      </c>
      <c r="S47" s="7"/>
      <c r="T47" s="7"/>
      <c r="U47" s="7"/>
      <c r="V47" s="7"/>
      <c r="W47" s="10" t="s">
        <v>31</v>
      </c>
      <c r="X47" s="4"/>
    </row>
    <row r="48" customFormat="false" ht="15" hidden="false" customHeight="true" outlineLevel="0" collapsed="false">
      <c r="A48" s="3" t="s">
        <v>216</v>
      </c>
      <c r="B48" s="3" t="s">
        <v>217</v>
      </c>
      <c r="C48" s="3" t="s">
        <v>218</v>
      </c>
      <c r="D48" s="4"/>
      <c r="E48" s="4" t="s">
        <v>219</v>
      </c>
      <c r="F48" s="4" t="s">
        <v>72</v>
      </c>
      <c r="G48" s="5"/>
      <c r="H48" s="6"/>
      <c r="I48" s="6"/>
      <c r="J48" s="4" t="n">
        <v>1</v>
      </c>
      <c r="K48" s="7" t="n">
        <v>33000</v>
      </c>
      <c r="L48" s="8" t="n">
        <v>35</v>
      </c>
      <c r="M48" s="7" t="n">
        <v>21450</v>
      </c>
      <c r="N48" s="7" t="n">
        <v>13985</v>
      </c>
      <c r="O48" s="9" t="str">
        <f aca="false">IF(AND(N(G48)&gt;0,N(M48)&gt;0),G48/M48,"")</f>
        <v/>
      </c>
      <c r="P48" s="7" t="n">
        <v>33000</v>
      </c>
      <c r="Q48" s="7" t="n">
        <v>21450</v>
      </c>
      <c r="R48" s="4" t="s">
        <v>30</v>
      </c>
      <c r="S48" s="7" t="n">
        <v>29050</v>
      </c>
      <c r="T48" s="7" t="n">
        <v>35750</v>
      </c>
      <c r="U48" s="7" t="n">
        <v>27670</v>
      </c>
      <c r="V48" s="7" t="n">
        <v>33000</v>
      </c>
      <c r="W48" s="10" t="s">
        <v>31</v>
      </c>
      <c r="X48" s="10" t="s">
        <v>31</v>
      </c>
    </row>
    <row r="49" customFormat="false" ht="15" hidden="false" customHeight="true" outlineLevel="0" collapsed="false">
      <c r="A49" s="3" t="s">
        <v>220</v>
      </c>
      <c r="B49" s="3" t="s">
        <v>221</v>
      </c>
      <c r="C49" s="3" t="s">
        <v>222</v>
      </c>
      <c r="D49" s="4"/>
      <c r="E49" s="4" t="s">
        <v>219</v>
      </c>
      <c r="F49" s="4" t="s">
        <v>72</v>
      </c>
      <c r="G49" s="5"/>
      <c r="H49" s="6"/>
      <c r="I49" s="6"/>
      <c r="J49" s="4" t="n">
        <v>1</v>
      </c>
      <c r="K49" s="7" t="n">
        <v>33000</v>
      </c>
      <c r="L49" s="8" t="n">
        <v>30</v>
      </c>
      <c r="M49" s="7" t="n">
        <v>23100</v>
      </c>
      <c r="N49" s="7" t="n">
        <v>15061</v>
      </c>
      <c r="O49" s="9" t="str">
        <f aca="false">IF(AND(N(G49)&gt;0,N(M49)&gt;0),G49/M49,"")</f>
        <v/>
      </c>
      <c r="P49" s="7" t="n">
        <v>33000</v>
      </c>
      <c r="Q49" s="7" t="n">
        <v>23100</v>
      </c>
      <c r="R49" s="4" t="s">
        <v>30</v>
      </c>
      <c r="S49" s="7" t="n">
        <v>26820</v>
      </c>
      <c r="T49" s="7" t="n">
        <v>33000</v>
      </c>
      <c r="U49" s="7" t="n">
        <v>25540</v>
      </c>
      <c r="V49" s="7" t="n">
        <v>33000</v>
      </c>
      <c r="W49" s="10" t="s">
        <v>31</v>
      </c>
      <c r="X49" s="10" t="s">
        <v>31</v>
      </c>
    </row>
    <row r="50" customFormat="false" ht="15" hidden="false" customHeight="true" outlineLevel="0" collapsed="false">
      <c r="A50" s="3" t="s">
        <v>223</v>
      </c>
      <c r="B50" s="3" t="s">
        <v>224</v>
      </c>
      <c r="C50" s="3" t="s">
        <v>225</v>
      </c>
      <c r="D50" s="4"/>
      <c r="E50" s="4" t="s">
        <v>226</v>
      </c>
      <c r="F50" s="4" t="s">
        <v>72</v>
      </c>
      <c r="G50" s="5"/>
      <c r="H50" s="6"/>
      <c r="I50" s="6"/>
      <c r="J50" s="4" t="n">
        <v>1</v>
      </c>
      <c r="K50" s="7" t="n">
        <v>129200</v>
      </c>
      <c r="L50" s="8" t="n">
        <v>50</v>
      </c>
      <c r="M50" s="7" t="n">
        <v>64600</v>
      </c>
      <c r="N50" s="7" t="n">
        <v>42119</v>
      </c>
      <c r="O50" s="9" t="str">
        <f aca="false">IF(AND(N(G50)&gt;0,N(M50)&gt;0),G50/M50,"")</f>
        <v/>
      </c>
      <c r="P50" s="7" t="n">
        <v>129200</v>
      </c>
      <c r="Q50" s="7" t="n">
        <v>64600</v>
      </c>
      <c r="R50" s="4" t="s">
        <v>30</v>
      </c>
      <c r="S50" s="7" t="n">
        <v>93390</v>
      </c>
      <c r="T50" s="7" t="n">
        <v>129200</v>
      </c>
      <c r="U50" s="7" t="n">
        <v>93590</v>
      </c>
      <c r="V50" s="7" t="n">
        <v>129200</v>
      </c>
      <c r="W50" s="10" t="s">
        <v>31</v>
      </c>
      <c r="X50" s="10" t="s">
        <v>31</v>
      </c>
    </row>
    <row r="51" customFormat="false" ht="15" hidden="false" customHeight="true" outlineLevel="0" collapsed="false">
      <c r="A51" s="3" t="s">
        <v>227</v>
      </c>
      <c r="B51" s="3" t="s">
        <v>228</v>
      </c>
      <c r="C51" s="3" t="s">
        <v>229</v>
      </c>
      <c r="D51" s="4"/>
      <c r="E51" s="4" t="s">
        <v>230</v>
      </c>
      <c r="F51" s="4" t="s">
        <v>72</v>
      </c>
      <c r="G51" s="5"/>
      <c r="H51" s="6"/>
      <c r="I51" s="6"/>
      <c r="J51" s="4" t="n">
        <v>1</v>
      </c>
      <c r="K51" s="7" t="n">
        <v>76500</v>
      </c>
      <c r="L51" s="8" t="n">
        <v>33</v>
      </c>
      <c r="M51" s="7" t="n">
        <v>51255</v>
      </c>
      <c r="N51" s="7" t="n">
        <v>33418</v>
      </c>
      <c r="O51" s="9" t="str">
        <f aca="false">IF(AND(N(G51)&gt;0,N(M51)&gt;0),G51/M51,"")</f>
        <v/>
      </c>
      <c r="P51" s="7" t="n">
        <v>76500</v>
      </c>
      <c r="Q51" s="7" t="n">
        <v>51255</v>
      </c>
      <c r="R51" s="4" t="s">
        <v>30</v>
      </c>
      <c r="S51" s="7" t="n">
        <v>57490</v>
      </c>
      <c r="T51" s="7" t="n">
        <v>76500</v>
      </c>
      <c r="U51" s="7" t="n">
        <v>57590</v>
      </c>
      <c r="V51" s="7" t="n">
        <v>76500</v>
      </c>
      <c r="W51" s="10" t="s">
        <v>31</v>
      </c>
      <c r="X51" s="10" t="s">
        <v>31</v>
      </c>
    </row>
    <row r="52" customFormat="false" ht="15" hidden="false" customHeight="true" outlineLevel="0" collapsed="false">
      <c r="A52" s="3" t="s">
        <v>231</v>
      </c>
      <c r="B52" s="3" t="s">
        <v>232</v>
      </c>
      <c r="C52" s="3" t="s">
        <v>233</v>
      </c>
      <c r="D52" s="4"/>
      <c r="E52" s="4" t="s">
        <v>234</v>
      </c>
      <c r="F52" s="4" t="s">
        <v>235</v>
      </c>
      <c r="G52" s="5"/>
      <c r="H52" s="6"/>
      <c r="I52" s="6"/>
      <c r="J52" s="4" t="n">
        <v>2</v>
      </c>
      <c r="K52" s="7" t="n">
        <v>44500</v>
      </c>
      <c r="L52" s="8" t="n">
        <v>20</v>
      </c>
      <c r="M52" s="7" t="n">
        <v>35600</v>
      </c>
      <c r="N52" s="7" t="n">
        <v>22855</v>
      </c>
      <c r="O52" s="9" t="str">
        <f aca="false">IF(AND(N(G52)&gt;0,N(M52)&gt;0),G52/M52,"")</f>
        <v/>
      </c>
      <c r="P52" s="7" t="n">
        <v>44500</v>
      </c>
      <c r="Q52" s="7" t="n">
        <v>35600</v>
      </c>
      <c r="R52" s="4" t="s">
        <v>30</v>
      </c>
      <c r="S52" s="7" t="n">
        <v>48740</v>
      </c>
      <c r="T52" s="7" t="n">
        <v>71200</v>
      </c>
      <c r="U52" s="7" t="n">
        <v>48850</v>
      </c>
      <c r="V52" s="7" t="n">
        <v>71200</v>
      </c>
      <c r="W52" s="10" t="s">
        <v>31</v>
      </c>
      <c r="X52" s="10" t="s">
        <v>31</v>
      </c>
    </row>
    <row r="53" customFormat="false" ht="15" hidden="false" customHeight="true" outlineLevel="0" collapsed="false">
      <c r="A53" s="3" t="s">
        <v>236</v>
      </c>
      <c r="B53" s="3" t="s">
        <v>237</v>
      </c>
      <c r="C53" s="3" t="s">
        <v>238</v>
      </c>
      <c r="D53" s="4"/>
      <c r="E53" s="4" t="s">
        <v>239</v>
      </c>
      <c r="F53" s="4" t="s">
        <v>235</v>
      </c>
      <c r="G53" s="11" t="n">
        <v>18000</v>
      </c>
      <c r="H53" s="12" t="s">
        <v>36</v>
      </c>
      <c r="I53" s="12" t="s">
        <v>37</v>
      </c>
      <c r="J53" s="4" t="n">
        <v>1</v>
      </c>
      <c r="K53" s="7" t="n">
        <v>57000</v>
      </c>
      <c r="L53" s="8" t="n">
        <v>2</v>
      </c>
      <c r="M53" s="7" t="n">
        <v>55860</v>
      </c>
      <c r="N53" s="7" t="n">
        <v>35862</v>
      </c>
      <c r="O53" s="9" t="n">
        <f aca="false">IF(AND(N(G53)&gt;0,N(M53)&gt;0),G53/M53,"")</f>
        <v>0.322234156820623</v>
      </c>
      <c r="P53" s="7" t="n">
        <v>57000</v>
      </c>
      <c r="Q53" s="7" t="n">
        <v>55860</v>
      </c>
      <c r="R53" s="4" t="s">
        <v>30</v>
      </c>
      <c r="S53" s="7" t="n">
        <v>65970</v>
      </c>
      <c r="T53" s="7" t="n">
        <v>85500</v>
      </c>
      <c r="U53" s="7" t="n">
        <v>66120</v>
      </c>
      <c r="V53" s="7" t="n">
        <v>85500</v>
      </c>
      <c r="W53" s="10" t="s">
        <v>31</v>
      </c>
      <c r="X53" s="10" t="s">
        <v>31</v>
      </c>
    </row>
    <row r="54" customFormat="false" ht="15" hidden="false" customHeight="true" outlineLevel="0" collapsed="false">
      <c r="A54" s="3" t="s">
        <v>240</v>
      </c>
      <c r="B54" s="3" t="s">
        <v>241</v>
      </c>
      <c r="C54" s="3" t="s">
        <v>242</v>
      </c>
      <c r="D54" s="4"/>
      <c r="E54" s="4" t="s">
        <v>243</v>
      </c>
      <c r="F54" s="4" t="s">
        <v>235</v>
      </c>
      <c r="G54" s="11" t="n">
        <v>5000</v>
      </c>
      <c r="H54" s="12" t="s">
        <v>36</v>
      </c>
      <c r="I54" s="12" t="s">
        <v>37</v>
      </c>
      <c r="J54" s="4" t="n">
        <v>2</v>
      </c>
      <c r="K54" s="7" t="n">
        <v>40700</v>
      </c>
      <c r="L54" s="8" t="n">
        <v>33</v>
      </c>
      <c r="M54" s="7" t="n">
        <v>27269</v>
      </c>
      <c r="N54" s="7" t="n">
        <v>17506</v>
      </c>
      <c r="O54" s="9" t="n">
        <f aca="false">IF(AND(N(G54)&gt;0,N(M54)&gt;0),G54/M54,"")</f>
        <v>0.183358392313616</v>
      </c>
      <c r="P54" s="7" t="n">
        <v>40700</v>
      </c>
      <c r="Q54" s="7" t="n">
        <v>27269</v>
      </c>
      <c r="R54" s="4" t="s">
        <v>30</v>
      </c>
      <c r="S54" s="7" t="n">
        <v>28390</v>
      </c>
      <c r="T54" s="7" t="n">
        <v>40700</v>
      </c>
      <c r="U54" s="7" t="n">
        <v>28490</v>
      </c>
      <c r="V54" s="7" t="n">
        <v>40700</v>
      </c>
      <c r="W54" s="10" t="s">
        <v>31</v>
      </c>
      <c r="X54" s="10" t="s">
        <v>31</v>
      </c>
    </row>
    <row r="55" customFormat="false" ht="15" hidden="false" customHeight="true" outlineLevel="0" collapsed="false">
      <c r="A55" s="3" t="s">
        <v>244</v>
      </c>
      <c r="B55" s="3" t="s">
        <v>245</v>
      </c>
      <c r="C55" s="3" t="s">
        <v>246</v>
      </c>
      <c r="D55" s="4"/>
      <c r="E55" s="4" t="s">
        <v>247</v>
      </c>
      <c r="F55" s="4" t="s">
        <v>235</v>
      </c>
      <c r="G55" s="5"/>
      <c r="H55" s="6"/>
      <c r="I55" s="6"/>
      <c r="J55" s="4" t="n">
        <v>1</v>
      </c>
      <c r="K55" s="7" t="n">
        <v>42500</v>
      </c>
      <c r="L55" s="8" t="n">
        <v>40</v>
      </c>
      <c r="M55" s="7" t="n">
        <v>25500</v>
      </c>
      <c r="N55" s="7" t="n">
        <v>16371</v>
      </c>
      <c r="O55" s="9" t="str">
        <f aca="false">IF(AND(N(G55)&gt;0,N(M55)&gt;0),G55/M55,"")</f>
        <v/>
      </c>
      <c r="P55" s="7" t="n">
        <v>42500</v>
      </c>
      <c r="Q55" s="7" t="n">
        <v>25500</v>
      </c>
      <c r="R55" s="4" t="s">
        <v>65</v>
      </c>
      <c r="S55" s="7" t="n">
        <v>31790</v>
      </c>
      <c r="T55" s="7" t="n">
        <v>42500</v>
      </c>
      <c r="U55" s="7" t="n">
        <v>31890</v>
      </c>
      <c r="V55" s="7" t="n">
        <v>42500</v>
      </c>
      <c r="W55" s="10" t="s">
        <v>31</v>
      </c>
      <c r="X55" s="10" t="s">
        <v>31</v>
      </c>
    </row>
    <row r="56" customFormat="false" ht="15" hidden="false" customHeight="true" outlineLevel="0" collapsed="false">
      <c r="A56" s="3" t="s">
        <v>248</v>
      </c>
      <c r="B56" s="3" t="s">
        <v>249</v>
      </c>
      <c r="C56" s="3" t="s">
        <v>250</v>
      </c>
      <c r="D56" s="4"/>
      <c r="E56" s="4" t="s">
        <v>251</v>
      </c>
      <c r="F56" s="4" t="s">
        <v>235</v>
      </c>
      <c r="G56" s="5"/>
      <c r="H56" s="6"/>
      <c r="I56" s="6"/>
      <c r="J56" s="4" t="n">
        <v>2</v>
      </c>
      <c r="K56" s="7" t="n">
        <v>22900</v>
      </c>
      <c r="L56" s="8" t="n">
        <v>53</v>
      </c>
      <c r="M56" s="7" t="n">
        <v>10763</v>
      </c>
      <c r="N56" s="7" t="n">
        <v>7125</v>
      </c>
      <c r="O56" s="9" t="str">
        <f aca="false">IF(AND(N(G56)&gt;0,N(M56)&gt;0),G56/M56,"")</f>
        <v/>
      </c>
      <c r="P56" s="7"/>
      <c r="Q56" s="7"/>
      <c r="R56" s="4" t="s">
        <v>155</v>
      </c>
      <c r="S56" s="7"/>
      <c r="T56" s="7"/>
      <c r="U56" s="7"/>
      <c r="V56" s="7"/>
      <c r="W56" s="10" t="s">
        <v>31</v>
      </c>
      <c r="X56" s="4"/>
    </row>
    <row r="57" customFormat="false" ht="15" hidden="false" customHeight="true" outlineLevel="0" collapsed="false">
      <c r="A57" s="3" t="s">
        <v>252</v>
      </c>
      <c r="B57" s="3" t="s">
        <v>253</v>
      </c>
      <c r="C57" s="3" t="s">
        <v>254</v>
      </c>
      <c r="D57" s="4"/>
      <c r="E57" s="4" t="s">
        <v>255</v>
      </c>
      <c r="F57" s="4" t="s">
        <v>235</v>
      </c>
      <c r="G57" s="5"/>
      <c r="H57" s="6"/>
      <c r="I57" s="6"/>
      <c r="J57" s="4" t="n">
        <v>1</v>
      </c>
      <c r="K57" s="7" t="n">
        <v>29900</v>
      </c>
      <c r="L57" s="8" t="n">
        <v>32</v>
      </c>
      <c r="M57" s="7" t="n">
        <v>20332</v>
      </c>
      <c r="N57" s="7" t="n">
        <v>13053</v>
      </c>
      <c r="O57" s="9" t="str">
        <f aca="false">IF(AND(N(G57)&gt;0,N(M57)&gt;0),G57/M57,"")</f>
        <v/>
      </c>
      <c r="P57" s="7"/>
      <c r="Q57" s="7"/>
      <c r="R57" s="4" t="s">
        <v>155</v>
      </c>
      <c r="S57" s="7"/>
      <c r="T57" s="7"/>
      <c r="U57" s="7"/>
      <c r="V57" s="7"/>
      <c r="W57" s="10" t="s">
        <v>31</v>
      </c>
      <c r="X57" s="4"/>
    </row>
    <row r="58" customFormat="false" ht="15" hidden="false" customHeight="true" outlineLevel="0" collapsed="false">
      <c r="A58" s="3" t="s">
        <v>256</v>
      </c>
      <c r="B58" s="3" t="s">
        <v>257</v>
      </c>
      <c r="C58" s="3" t="s">
        <v>258</v>
      </c>
      <c r="D58" s="4"/>
      <c r="E58" s="4" t="s">
        <v>259</v>
      </c>
      <c r="F58" s="4" t="s">
        <v>235</v>
      </c>
      <c r="G58" s="5"/>
      <c r="H58" s="6"/>
      <c r="I58" s="6"/>
      <c r="J58" s="4" t="n">
        <v>1</v>
      </c>
      <c r="K58" s="7" t="n">
        <v>90000</v>
      </c>
      <c r="L58" s="8" t="n">
        <v>45</v>
      </c>
      <c r="M58" s="7" t="n">
        <v>49500</v>
      </c>
      <c r="N58" s="7" t="n">
        <v>31779</v>
      </c>
      <c r="O58" s="9" t="str">
        <f aca="false">IF(AND(N(G58)&gt;0,N(M58)&gt;0),G58/M58,"")</f>
        <v/>
      </c>
      <c r="P58" s="7" t="n">
        <v>90000</v>
      </c>
      <c r="Q58" s="7" t="n">
        <v>49500</v>
      </c>
      <c r="R58" s="4" t="s">
        <v>30</v>
      </c>
      <c r="S58" s="7" t="n">
        <v>72890</v>
      </c>
      <c r="T58" s="7" t="n">
        <v>90000</v>
      </c>
      <c r="U58" s="7" t="n">
        <v>72990</v>
      </c>
      <c r="V58" s="7" t="n">
        <v>90000</v>
      </c>
      <c r="W58" s="10" t="s">
        <v>31</v>
      </c>
      <c r="X58" s="10" t="s">
        <v>31</v>
      </c>
    </row>
    <row r="59" customFormat="false" ht="15" hidden="false" customHeight="true" outlineLevel="0" collapsed="false">
      <c r="A59" s="3" t="s">
        <v>260</v>
      </c>
      <c r="B59" s="3" t="s">
        <v>261</v>
      </c>
      <c r="C59" s="3" t="s">
        <v>262</v>
      </c>
      <c r="D59" s="4"/>
      <c r="E59" s="4" t="s">
        <v>263</v>
      </c>
      <c r="F59" s="4" t="s">
        <v>235</v>
      </c>
      <c r="G59" s="11" t="n">
        <v>3500</v>
      </c>
      <c r="H59" s="12" t="s">
        <v>36</v>
      </c>
      <c r="I59" s="12" t="s">
        <v>37</v>
      </c>
      <c r="J59" s="4" t="n">
        <v>1</v>
      </c>
      <c r="K59" s="7" t="n">
        <v>39500</v>
      </c>
      <c r="L59" s="8" t="n">
        <v>45</v>
      </c>
      <c r="M59" s="7" t="n">
        <v>21725</v>
      </c>
      <c r="N59" s="7" t="n">
        <v>13947</v>
      </c>
      <c r="O59" s="9" t="n">
        <f aca="false">IF(AND(N(G59)&gt;0,N(M59)&gt;0),G59/M59,"")</f>
        <v>0.161104718066743</v>
      </c>
      <c r="P59" s="7" t="n">
        <v>39500</v>
      </c>
      <c r="Q59" s="7" t="n">
        <v>21725</v>
      </c>
      <c r="R59" s="4" t="s">
        <v>65</v>
      </c>
      <c r="S59" s="7" t="n">
        <v>24590</v>
      </c>
      <c r="T59" s="7" t="n">
        <v>39500</v>
      </c>
      <c r="U59" s="7" t="n">
        <v>24690</v>
      </c>
      <c r="V59" s="7" t="n">
        <v>39500</v>
      </c>
      <c r="W59" s="10" t="s">
        <v>31</v>
      </c>
      <c r="X59" s="10" t="s">
        <v>31</v>
      </c>
    </row>
    <row r="60" customFormat="false" ht="15" hidden="false" customHeight="true" outlineLevel="0" collapsed="false">
      <c r="A60" s="3" t="s">
        <v>264</v>
      </c>
      <c r="B60" s="3" t="s">
        <v>265</v>
      </c>
      <c r="C60" s="3" t="s">
        <v>266</v>
      </c>
      <c r="D60" s="4"/>
      <c r="E60" s="4" t="s">
        <v>267</v>
      </c>
      <c r="F60" s="4" t="s">
        <v>235</v>
      </c>
      <c r="G60" s="11" t="n">
        <v>4700</v>
      </c>
      <c r="H60" s="12" t="s">
        <v>36</v>
      </c>
      <c r="I60" s="12" t="s">
        <v>37</v>
      </c>
      <c r="J60" s="4" t="n">
        <v>1</v>
      </c>
      <c r="K60" s="7" t="n">
        <v>18000</v>
      </c>
      <c r="L60" s="8" t="n">
        <v>0</v>
      </c>
      <c r="M60" s="7" t="n">
        <v>18000</v>
      </c>
      <c r="N60" s="7" t="n">
        <v>11916</v>
      </c>
      <c r="O60" s="9" t="n">
        <f aca="false">IF(AND(N(G60)&gt;0,N(M60)&gt;0),G60/M60,"")</f>
        <v>0.261111111111111</v>
      </c>
      <c r="P60" s="7" t="n">
        <v>18000</v>
      </c>
      <c r="Q60" s="7" t="n">
        <v>18000</v>
      </c>
      <c r="R60" s="4" t="s">
        <v>65</v>
      </c>
      <c r="S60" s="7"/>
      <c r="T60" s="7"/>
      <c r="U60" s="7"/>
      <c r="V60" s="7"/>
      <c r="W60" s="10" t="s">
        <v>31</v>
      </c>
      <c r="X60" s="10" t="s">
        <v>31</v>
      </c>
    </row>
    <row r="61" customFormat="false" ht="15" hidden="false" customHeight="true" outlineLevel="0" collapsed="false">
      <c r="A61" s="3" t="s">
        <v>268</v>
      </c>
      <c r="B61" s="3" t="s">
        <v>269</v>
      </c>
      <c r="C61" s="3" t="s">
        <v>270</v>
      </c>
      <c r="D61" s="4"/>
      <c r="E61" s="4" t="s">
        <v>271</v>
      </c>
      <c r="F61" s="4" t="s">
        <v>235</v>
      </c>
      <c r="G61" s="5"/>
      <c r="H61" s="6"/>
      <c r="I61" s="6"/>
      <c r="J61" s="4" t="n">
        <v>2</v>
      </c>
      <c r="K61" s="7" t="n">
        <v>24000</v>
      </c>
      <c r="L61" s="8" t="n">
        <v>5</v>
      </c>
      <c r="M61" s="7" t="n">
        <v>22800</v>
      </c>
      <c r="N61" s="7" t="n">
        <v>14637</v>
      </c>
      <c r="O61" s="9" t="str">
        <f aca="false">IF(AND(N(G61)&gt;0,N(M61)&gt;0),G61/M61,"")</f>
        <v/>
      </c>
      <c r="P61" s="7" t="n">
        <v>24000</v>
      </c>
      <c r="Q61" s="7" t="n">
        <v>22800</v>
      </c>
      <c r="R61" s="4" t="s">
        <v>65</v>
      </c>
      <c r="S61" s="7"/>
      <c r="T61" s="7"/>
      <c r="U61" s="7" t="n">
        <v>12000</v>
      </c>
      <c r="V61" s="7"/>
      <c r="W61" s="10" t="s">
        <v>31</v>
      </c>
      <c r="X61" s="10" t="s">
        <v>31</v>
      </c>
    </row>
    <row r="62" customFormat="false" ht="15" hidden="false" customHeight="true" outlineLevel="0" collapsed="false">
      <c r="A62" s="3" t="s">
        <v>272</v>
      </c>
      <c r="B62" s="3" t="s">
        <v>273</v>
      </c>
      <c r="C62" s="3" t="s">
        <v>274</v>
      </c>
      <c r="D62" s="4"/>
      <c r="E62" s="4" t="s">
        <v>271</v>
      </c>
      <c r="F62" s="4" t="s">
        <v>235</v>
      </c>
      <c r="G62" s="5"/>
      <c r="H62" s="6"/>
      <c r="I62" s="6"/>
      <c r="J62" s="4" t="n">
        <v>10</v>
      </c>
      <c r="K62" s="7" t="n">
        <v>19900</v>
      </c>
      <c r="L62" s="8" t="n">
        <v>0</v>
      </c>
      <c r="M62" s="7" t="n">
        <v>19900</v>
      </c>
      <c r="N62" s="7" t="n">
        <v>13173</v>
      </c>
      <c r="O62" s="9" t="str">
        <f aca="false">IF(AND(N(G62)&gt;0,N(M62)&gt;0),G62/M62,"")</f>
        <v/>
      </c>
      <c r="P62" s="7" t="n">
        <v>19900</v>
      </c>
      <c r="Q62" s="7" t="n">
        <v>19900</v>
      </c>
      <c r="R62" s="4" t="s">
        <v>30</v>
      </c>
      <c r="S62" s="7" t="n">
        <v>24770</v>
      </c>
      <c r="T62" s="7" t="n">
        <v>39800</v>
      </c>
      <c r="U62" s="7" t="n">
        <v>24820</v>
      </c>
      <c r="V62" s="7" t="n">
        <v>39800</v>
      </c>
      <c r="W62" s="10" t="s">
        <v>31</v>
      </c>
      <c r="X62" s="10" t="s">
        <v>31</v>
      </c>
    </row>
    <row r="63" customFormat="false" ht="15" hidden="false" customHeight="true" outlineLevel="0" collapsed="false">
      <c r="A63" s="3" t="s">
        <v>275</v>
      </c>
      <c r="B63" s="3" t="s">
        <v>276</v>
      </c>
      <c r="C63" s="3" t="s">
        <v>277</v>
      </c>
      <c r="D63" s="4"/>
      <c r="E63" s="4" t="s">
        <v>278</v>
      </c>
      <c r="F63" s="4" t="s">
        <v>235</v>
      </c>
      <c r="G63" s="11" t="n">
        <v>7000</v>
      </c>
      <c r="H63" s="12" t="s">
        <v>36</v>
      </c>
      <c r="I63" s="12" t="s">
        <v>37</v>
      </c>
      <c r="J63" s="4" t="n">
        <v>1</v>
      </c>
      <c r="K63" s="7" t="n">
        <v>24000</v>
      </c>
      <c r="L63" s="8" t="n">
        <v>0</v>
      </c>
      <c r="M63" s="7" t="n">
        <v>24000</v>
      </c>
      <c r="N63" s="7" t="n">
        <v>15408</v>
      </c>
      <c r="O63" s="9" t="n">
        <f aca="false">IF(AND(N(G63)&gt;0,N(M63)&gt;0),G63/M63,"")</f>
        <v>0.291666666666667</v>
      </c>
      <c r="P63" s="7" t="n">
        <v>24000</v>
      </c>
      <c r="Q63" s="7" t="n">
        <v>24000</v>
      </c>
      <c r="R63" s="4" t="s">
        <v>30</v>
      </c>
      <c r="S63" s="7" t="n">
        <v>29870</v>
      </c>
      <c r="T63" s="7" t="n">
        <v>37500</v>
      </c>
      <c r="U63" s="7" t="n">
        <v>29940</v>
      </c>
      <c r="V63" s="7" t="n">
        <v>37500</v>
      </c>
      <c r="W63" s="10" t="s">
        <v>31</v>
      </c>
      <c r="X63" s="10" t="s">
        <v>31</v>
      </c>
    </row>
    <row r="64" customFormat="false" ht="15" hidden="false" customHeight="true" outlineLevel="0" collapsed="false">
      <c r="A64" s="3" t="s">
        <v>279</v>
      </c>
      <c r="B64" s="3" t="s">
        <v>280</v>
      </c>
      <c r="C64" s="3" t="s">
        <v>281</v>
      </c>
      <c r="D64" s="4"/>
      <c r="E64" s="4" t="s">
        <v>282</v>
      </c>
      <c r="F64" s="4" t="s">
        <v>235</v>
      </c>
      <c r="G64" s="5"/>
      <c r="H64" s="6"/>
      <c r="I64" s="6"/>
      <c r="J64" s="4" t="n">
        <v>1</v>
      </c>
      <c r="K64" s="7" t="n">
        <v>45500</v>
      </c>
      <c r="L64" s="8" t="n">
        <v>20</v>
      </c>
      <c r="M64" s="7" t="n">
        <v>36400</v>
      </c>
      <c r="N64" s="7" t="n">
        <v>23368</v>
      </c>
      <c r="O64" s="9" t="str">
        <f aca="false">IF(AND(N(G64)&gt;0,N(M64)&gt;0),G64/M64,"")</f>
        <v/>
      </c>
      <c r="P64" s="7"/>
      <c r="Q64" s="7"/>
      <c r="R64" s="4" t="s">
        <v>155</v>
      </c>
      <c r="S64" s="7"/>
      <c r="T64" s="7"/>
      <c r="U64" s="7"/>
      <c r="V64" s="7"/>
      <c r="W64" s="10" t="s">
        <v>31</v>
      </c>
      <c r="X64" s="4"/>
    </row>
    <row r="65" customFormat="false" ht="15" hidden="false" customHeight="true" outlineLevel="0" collapsed="false">
      <c r="A65" s="3" t="s">
        <v>283</v>
      </c>
      <c r="B65" s="3" t="s">
        <v>284</v>
      </c>
      <c r="C65" s="3" t="s">
        <v>285</v>
      </c>
      <c r="D65" s="4"/>
      <c r="E65" s="4" t="s">
        <v>282</v>
      </c>
      <c r="F65" s="4" t="s">
        <v>235</v>
      </c>
      <c r="G65" s="5"/>
      <c r="H65" s="6"/>
      <c r="I65" s="6"/>
      <c r="J65" s="4" t="n">
        <v>1</v>
      </c>
      <c r="K65" s="7" t="n">
        <v>32500</v>
      </c>
      <c r="L65" s="8" t="n">
        <v>11</v>
      </c>
      <c r="M65" s="7" t="n">
        <v>28925</v>
      </c>
      <c r="N65" s="7" t="n">
        <v>18569</v>
      </c>
      <c r="O65" s="9" t="str">
        <f aca="false">IF(AND(N(G65)&gt;0,N(M65)&gt;0),G65/M65,"")</f>
        <v/>
      </c>
      <c r="P65" s="7" t="n">
        <v>32500</v>
      </c>
      <c r="Q65" s="7" t="n">
        <v>28925</v>
      </c>
      <c r="R65" s="4" t="s">
        <v>30</v>
      </c>
      <c r="S65" s="7" t="n">
        <v>36000</v>
      </c>
      <c r="T65" s="7" t="n">
        <v>44500</v>
      </c>
      <c r="U65" s="7" t="n">
        <v>36080</v>
      </c>
      <c r="V65" s="7" t="n">
        <v>44500</v>
      </c>
      <c r="W65" s="10" t="s">
        <v>31</v>
      </c>
      <c r="X65" s="10" t="s">
        <v>31</v>
      </c>
    </row>
    <row r="66" customFormat="false" ht="15" hidden="false" customHeight="true" outlineLevel="0" collapsed="false">
      <c r="A66" s="3" t="s">
        <v>286</v>
      </c>
      <c r="B66" s="3" t="s">
        <v>287</v>
      </c>
      <c r="C66" s="3" t="s">
        <v>288</v>
      </c>
      <c r="D66" s="4"/>
      <c r="E66" s="4" t="s">
        <v>282</v>
      </c>
      <c r="F66" s="4" t="s">
        <v>235</v>
      </c>
      <c r="G66" s="5"/>
      <c r="H66" s="6"/>
      <c r="I66" s="6"/>
      <c r="J66" s="4" t="n">
        <v>3</v>
      </c>
      <c r="K66" s="7" t="n">
        <v>21000</v>
      </c>
      <c r="L66" s="8" t="n">
        <v>40</v>
      </c>
      <c r="M66" s="7" t="n">
        <v>12600</v>
      </c>
      <c r="N66" s="7" t="n">
        <v>8341</v>
      </c>
      <c r="O66" s="9" t="str">
        <f aca="false">IF(AND(N(G66)&gt;0,N(M66)&gt;0),G66/M66,"")</f>
        <v/>
      </c>
      <c r="P66" s="7" t="n">
        <v>21000</v>
      </c>
      <c r="Q66" s="7" t="n">
        <v>12600</v>
      </c>
      <c r="R66" s="4" t="s">
        <v>30</v>
      </c>
      <c r="S66" s="7" t="n">
        <v>16470</v>
      </c>
      <c r="T66" s="7" t="n">
        <v>21000</v>
      </c>
      <c r="U66" s="7" t="n">
        <v>16510</v>
      </c>
      <c r="V66" s="7" t="n">
        <v>21000</v>
      </c>
      <c r="W66" s="10" t="s">
        <v>31</v>
      </c>
      <c r="X66" s="10" t="s">
        <v>31</v>
      </c>
    </row>
    <row r="67" customFormat="false" ht="15" hidden="false" customHeight="true" outlineLevel="0" collapsed="false">
      <c r="A67" s="3" t="s">
        <v>289</v>
      </c>
      <c r="B67" s="3" t="s">
        <v>290</v>
      </c>
      <c r="C67" s="3" t="s">
        <v>291</v>
      </c>
      <c r="D67" s="4"/>
      <c r="E67" s="4" t="s">
        <v>292</v>
      </c>
      <c r="F67" s="4" t="s">
        <v>293</v>
      </c>
      <c r="G67" s="11" t="n">
        <v>2600</v>
      </c>
      <c r="H67" s="12" t="s">
        <v>113</v>
      </c>
      <c r="I67" s="12" t="s">
        <v>114</v>
      </c>
      <c r="J67" s="4" t="n">
        <v>1</v>
      </c>
      <c r="K67" s="7" t="n">
        <v>50000</v>
      </c>
      <c r="L67" s="8" t="n">
        <v>30</v>
      </c>
      <c r="M67" s="7" t="n">
        <v>35000</v>
      </c>
      <c r="N67" s="7" t="n">
        <v>22470</v>
      </c>
      <c r="O67" s="9" t="n">
        <f aca="false">IF(AND(N(G67)&gt;0,N(M67)&gt;0),G67/M67,"")</f>
        <v>0.0742857142857143</v>
      </c>
      <c r="P67" s="7" t="n">
        <v>50000</v>
      </c>
      <c r="Q67" s="7" t="n">
        <v>35000</v>
      </c>
      <c r="R67" s="4" t="s">
        <v>30</v>
      </c>
      <c r="S67" s="7" t="n">
        <v>40390</v>
      </c>
      <c r="T67" s="7" t="n">
        <v>50000</v>
      </c>
      <c r="U67" s="7" t="n">
        <v>38390</v>
      </c>
      <c r="V67" s="7" t="n">
        <v>50000</v>
      </c>
      <c r="W67" s="10" t="s">
        <v>31</v>
      </c>
      <c r="X67" s="10" t="s">
        <v>31</v>
      </c>
    </row>
    <row r="68" customFormat="false" ht="15" hidden="false" customHeight="true" outlineLevel="0" collapsed="false">
      <c r="A68" s="3" t="s">
        <v>294</v>
      </c>
      <c r="B68" s="3" t="s">
        <v>295</v>
      </c>
      <c r="C68" s="3" t="s">
        <v>296</v>
      </c>
      <c r="D68" s="4"/>
      <c r="E68" s="4" t="s">
        <v>297</v>
      </c>
      <c r="F68" s="4" t="s">
        <v>293</v>
      </c>
      <c r="G68" s="11" t="n">
        <v>2600</v>
      </c>
      <c r="H68" s="12" t="s">
        <v>113</v>
      </c>
      <c r="I68" s="12" t="s">
        <v>114</v>
      </c>
      <c r="J68" s="4" t="n">
        <v>1</v>
      </c>
      <c r="K68" s="7" t="n">
        <v>46250</v>
      </c>
      <c r="L68" s="8" t="n">
        <v>52</v>
      </c>
      <c r="M68" s="7" t="n">
        <v>22200</v>
      </c>
      <c r="N68" s="7" t="n">
        <v>14252</v>
      </c>
      <c r="O68" s="9" t="n">
        <f aca="false">IF(AND(N(G68)&gt;0,N(M68)&gt;0),G68/M68,"")</f>
        <v>0.117117117117117</v>
      </c>
      <c r="P68" s="7" t="n">
        <v>46250</v>
      </c>
      <c r="Q68" s="7" t="n">
        <v>22200</v>
      </c>
      <c r="R68" s="4" t="s">
        <v>30</v>
      </c>
      <c r="S68" s="7" t="n">
        <v>31690</v>
      </c>
      <c r="T68" s="7" t="n">
        <v>46250</v>
      </c>
      <c r="U68" s="7" t="n">
        <v>30090</v>
      </c>
      <c r="V68" s="7" t="n">
        <v>46250</v>
      </c>
      <c r="W68" s="10" t="s">
        <v>31</v>
      </c>
      <c r="X68" s="10" t="s">
        <v>31</v>
      </c>
    </row>
    <row r="69" customFormat="false" ht="15" hidden="false" customHeight="true" outlineLevel="0" collapsed="false">
      <c r="A69" s="3" t="s">
        <v>298</v>
      </c>
      <c r="B69" s="3" t="s">
        <v>299</v>
      </c>
      <c r="C69" s="3" t="s">
        <v>300</v>
      </c>
      <c r="D69" s="4"/>
      <c r="E69" s="4" t="s">
        <v>301</v>
      </c>
      <c r="F69" s="4" t="s">
        <v>293</v>
      </c>
      <c r="G69" s="11" t="n">
        <v>2600</v>
      </c>
      <c r="H69" s="12" t="s">
        <v>113</v>
      </c>
      <c r="I69" s="12" t="s">
        <v>114</v>
      </c>
      <c r="J69" s="4" t="n">
        <v>1</v>
      </c>
      <c r="K69" s="7" t="n">
        <v>30000</v>
      </c>
      <c r="L69" s="8" t="n">
        <v>46</v>
      </c>
      <c r="M69" s="7" t="n">
        <v>16200</v>
      </c>
      <c r="N69" s="7" t="n">
        <v>10724</v>
      </c>
      <c r="O69" s="9" t="n">
        <f aca="false">IF(AND(N(G69)&gt;0,N(M69)&gt;0),G69/M69,"")</f>
        <v>0.160493827160494</v>
      </c>
      <c r="P69" s="7" t="n">
        <v>30000</v>
      </c>
      <c r="Q69" s="7" t="n">
        <v>16200</v>
      </c>
      <c r="R69" s="4" t="s">
        <v>30</v>
      </c>
      <c r="S69" s="7" t="n">
        <v>22790</v>
      </c>
      <c r="T69" s="7" t="n">
        <v>30000</v>
      </c>
      <c r="U69" s="7" t="n">
        <v>21590</v>
      </c>
      <c r="V69" s="7" t="n">
        <v>30000</v>
      </c>
      <c r="W69" s="10" t="s">
        <v>31</v>
      </c>
      <c r="X69" s="10" t="s">
        <v>31</v>
      </c>
    </row>
    <row r="70" customFormat="false" ht="15" hidden="false" customHeight="true" outlineLevel="0" collapsed="false">
      <c r="A70" s="3" t="s">
        <v>302</v>
      </c>
      <c r="B70" s="3" t="s">
        <v>303</v>
      </c>
      <c r="C70" s="3" t="s">
        <v>304</v>
      </c>
      <c r="D70" s="4"/>
      <c r="E70" s="4" t="s">
        <v>305</v>
      </c>
      <c r="F70" s="4" t="s">
        <v>293</v>
      </c>
      <c r="G70" s="11" t="n">
        <v>2600</v>
      </c>
      <c r="H70" s="12" t="s">
        <v>113</v>
      </c>
      <c r="I70" s="12" t="s">
        <v>114</v>
      </c>
      <c r="J70" s="4" t="n">
        <v>1</v>
      </c>
      <c r="K70" s="7" t="n">
        <v>41780</v>
      </c>
      <c r="L70" s="8" t="n">
        <v>50</v>
      </c>
      <c r="M70" s="7" t="n">
        <v>20890</v>
      </c>
      <c r="N70" s="7" t="n">
        <v>13411</v>
      </c>
      <c r="O70" s="9" t="n">
        <f aca="false">IF(AND(N(G70)&gt;0,N(M70)&gt;0),G70/M70,"")</f>
        <v>0.124461464815701</v>
      </c>
      <c r="P70" s="7" t="n">
        <v>41780</v>
      </c>
      <c r="Q70" s="7" t="n">
        <v>20890</v>
      </c>
      <c r="R70" s="4" t="s">
        <v>30</v>
      </c>
      <c r="S70" s="7" t="n">
        <v>25590</v>
      </c>
      <c r="T70" s="7" t="n">
        <v>41780</v>
      </c>
      <c r="U70" s="7" t="n">
        <v>24290</v>
      </c>
      <c r="V70" s="7" t="n">
        <v>41780</v>
      </c>
      <c r="W70" s="10" t="s">
        <v>31</v>
      </c>
      <c r="X70" s="10" t="s">
        <v>31</v>
      </c>
    </row>
    <row r="71" customFormat="false" ht="15" hidden="false" customHeight="true" outlineLevel="0" collapsed="false">
      <c r="A71" s="3" t="s">
        <v>306</v>
      </c>
      <c r="B71" s="3" t="s">
        <v>307</v>
      </c>
      <c r="C71" s="3" t="s">
        <v>308</v>
      </c>
      <c r="D71" s="4"/>
      <c r="E71" s="4" t="s">
        <v>309</v>
      </c>
      <c r="F71" s="4" t="s">
        <v>293</v>
      </c>
      <c r="G71" s="11" t="n">
        <v>2600</v>
      </c>
      <c r="H71" s="12" t="s">
        <v>113</v>
      </c>
      <c r="I71" s="12" t="s">
        <v>114</v>
      </c>
      <c r="J71" s="4" t="n">
        <v>1</v>
      </c>
      <c r="K71" s="7" t="n">
        <v>46000</v>
      </c>
      <c r="L71" s="8" t="n">
        <v>55</v>
      </c>
      <c r="M71" s="7" t="n">
        <v>20700</v>
      </c>
      <c r="N71" s="7" t="n">
        <v>13289</v>
      </c>
      <c r="O71" s="9" t="n">
        <f aca="false">IF(AND(N(G71)&gt;0,N(M71)&gt;0),G71/M71,"")</f>
        <v>0.1256038647343</v>
      </c>
      <c r="P71" s="7" t="n">
        <v>46000</v>
      </c>
      <c r="Q71" s="7" t="n">
        <v>20700</v>
      </c>
      <c r="R71" s="4" t="s">
        <v>30</v>
      </c>
      <c r="S71" s="7" t="n">
        <v>30990</v>
      </c>
      <c r="T71" s="7" t="n">
        <v>46000</v>
      </c>
      <c r="U71" s="7" t="n">
        <v>29390</v>
      </c>
      <c r="V71" s="7" t="n">
        <v>46000</v>
      </c>
      <c r="W71" s="10" t="s">
        <v>31</v>
      </c>
      <c r="X71" s="10" t="s">
        <v>31</v>
      </c>
    </row>
    <row r="72" customFormat="false" ht="15" hidden="false" customHeight="true" outlineLevel="0" collapsed="false">
      <c r="A72" s="3" t="s">
        <v>310</v>
      </c>
      <c r="B72" s="3" t="s">
        <v>311</v>
      </c>
      <c r="C72" s="3" t="s">
        <v>312</v>
      </c>
      <c r="D72" s="4"/>
      <c r="E72" s="4" t="s">
        <v>313</v>
      </c>
      <c r="F72" s="4" t="s">
        <v>293</v>
      </c>
      <c r="G72" s="11" t="n">
        <v>1150</v>
      </c>
      <c r="H72" s="12" t="s">
        <v>113</v>
      </c>
      <c r="I72" s="12" t="s">
        <v>114</v>
      </c>
      <c r="J72" s="4" t="n">
        <v>1</v>
      </c>
      <c r="K72" s="7" t="n">
        <v>90000</v>
      </c>
      <c r="L72" s="8" t="n">
        <v>42</v>
      </c>
      <c r="M72" s="7" t="n">
        <v>52200</v>
      </c>
      <c r="N72" s="7" t="n">
        <v>33512</v>
      </c>
      <c r="O72" s="9" t="n">
        <f aca="false">IF(AND(N(G72)&gt;0,N(M72)&gt;0),G72/M72,"")</f>
        <v>0.0220306513409962</v>
      </c>
      <c r="P72" s="7" t="n">
        <v>90000</v>
      </c>
      <c r="Q72" s="7" t="n">
        <v>52200</v>
      </c>
      <c r="R72" s="4" t="s">
        <v>30</v>
      </c>
      <c r="S72" s="7" t="n">
        <v>71590</v>
      </c>
      <c r="T72" s="7" t="n">
        <v>90000</v>
      </c>
      <c r="U72" s="7" t="n">
        <v>67890</v>
      </c>
      <c r="V72" s="7" t="n">
        <v>90000</v>
      </c>
      <c r="W72" s="10" t="s">
        <v>31</v>
      </c>
      <c r="X72" s="10" t="s">
        <v>31</v>
      </c>
    </row>
    <row r="73" customFormat="false" ht="15" hidden="false" customHeight="true" outlineLevel="0" collapsed="false">
      <c r="A73" s="3" t="s">
        <v>314</v>
      </c>
      <c r="B73" s="3" t="s">
        <v>315</v>
      </c>
      <c r="C73" s="3" t="s">
        <v>316</v>
      </c>
      <c r="D73" s="4"/>
      <c r="E73" s="4" t="s">
        <v>317</v>
      </c>
      <c r="F73" s="4" t="s">
        <v>293</v>
      </c>
      <c r="G73" s="5"/>
      <c r="H73" s="6"/>
      <c r="I73" s="6"/>
      <c r="J73" s="4" t="n">
        <v>1</v>
      </c>
      <c r="K73" s="7" t="n">
        <v>22350</v>
      </c>
      <c r="L73" s="8" t="n">
        <v>44</v>
      </c>
      <c r="M73" s="7" t="n">
        <v>12516</v>
      </c>
      <c r="N73" s="7" t="n">
        <v>8285</v>
      </c>
      <c r="O73" s="9" t="str">
        <f aca="false">IF(AND(N(G73)&gt;0,N(M73)&gt;0),G73/M73,"")</f>
        <v/>
      </c>
      <c r="P73" s="7" t="n">
        <v>22350</v>
      </c>
      <c r="Q73" s="7" t="n">
        <v>12516</v>
      </c>
      <c r="R73" s="4" t="s">
        <v>30</v>
      </c>
      <c r="S73" s="7" t="n">
        <v>17490</v>
      </c>
      <c r="T73" s="7" t="n">
        <v>22350</v>
      </c>
      <c r="U73" s="7" t="n">
        <v>16690</v>
      </c>
      <c r="V73" s="7" t="n">
        <v>22350</v>
      </c>
      <c r="W73" s="10" t="s">
        <v>31</v>
      </c>
      <c r="X73" s="10" t="s">
        <v>31</v>
      </c>
    </row>
    <row r="74" customFormat="false" ht="15" hidden="false" customHeight="true" outlineLevel="0" collapsed="false">
      <c r="A74" s="3" t="s">
        <v>318</v>
      </c>
      <c r="B74" s="3" t="s">
        <v>319</v>
      </c>
      <c r="C74" s="3" t="s">
        <v>320</v>
      </c>
      <c r="D74" s="4"/>
      <c r="E74" s="4" t="s">
        <v>321</v>
      </c>
      <c r="F74" s="4" t="s">
        <v>293</v>
      </c>
      <c r="G74" s="5"/>
      <c r="H74" s="6"/>
      <c r="I74" s="6"/>
      <c r="J74" s="4" t="n">
        <v>1</v>
      </c>
      <c r="K74" s="7" t="n">
        <v>13000</v>
      </c>
      <c r="L74" s="8" t="n">
        <v>20</v>
      </c>
      <c r="M74" s="7" t="n">
        <v>10400</v>
      </c>
      <c r="N74" s="7" t="n">
        <v>6884</v>
      </c>
      <c r="O74" s="9" t="str">
        <f aca="false">IF(AND(N(G74)&gt;0,N(M74)&gt;0),G74/M74,"")</f>
        <v/>
      </c>
      <c r="P74" s="7"/>
      <c r="Q74" s="7"/>
      <c r="R74" s="4" t="s">
        <v>155</v>
      </c>
      <c r="S74" s="7"/>
      <c r="T74" s="7"/>
      <c r="U74" s="7"/>
      <c r="V74" s="7"/>
      <c r="W74" s="10" t="s">
        <v>31</v>
      </c>
      <c r="X74" s="4"/>
    </row>
    <row r="75" customFormat="false" ht="15" hidden="false" customHeight="true" outlineLevel="0" collapsed="false">
      <c r="A75" s="3" t="s">
        <v>322</v>
      </c>
      <c r="B75" s="3" t="s">
        <v>323</v>
      </c>
      <c r="C75" s="3" t="s">
        <v>324</v>
      </c>
      <c r="D75" s="4"/>
      <c r="E75" s="4" t="s">
        <v>325</v>
      </c>
      <c r="F75" s="4" t="s">
        <v>293</v>
      </c>
      <c r="G75" s="11" t="n">
        <v>2450</v>
      </c>
      <c r="H75" s="12" t="s">
        <v>113</v>
      </c>
      <c r="I75" s="12" t="s">
        <v>114</v>
      </c>
      <c r="J75" s="4" t="n">
        <v>1</v>
      </c>
      <c r="K75" s="7" t="n">
        <v>46250</v>
      </c>
      <c r="L75" s="8" t="n">
        <v>44</v>
      </c>
      <c r="M75" s="7" t="n">
        <v>25900</v>
      </c>
      <c r="N75" s="7" t="n">
        <v>16627</v>
      </c>
      <c r="O75" s="9" t="n">
        <f aca="false">IF(AND(N(G75)&gt;0,N(M75)&gt;0),G75/M75,"")</f>
        <v>0.0945945945945946</v>
      </c>
      <c r="P75" s="7" t="n">
        <v>46250</v>
      </c>
      <c r="Q75" s="7" t="n">
        <v>25900</v>
      </c>
      <c r="R75" s="4" t="s">
        <v>30</v>
      </c>
      <c r="S75" s="7" t="n">
        <v>31690</v>
      </c>
      <c r="T75" s="7" t="n">
        <v>46250</v>
      </c>
      <c r="U75" s="7" t="n">
        <v>30090</v>
      </c>
      <c r="V75" s="7" t="n">
        <v>46250</v>
      </c>
      <c r="W75" s="10" t="s">
        <v>31</v>
      </c>
      <c r="X75" s="10" t="s">
        <v>31</v>
      </c>
    </row>
    <row r="76" customFormat="false" ht="15" hidden="false" customHeight="true" outlineLevel="0" collapsed="false">
      <c r="A76" s="3" t="s">
        <v>326</v>
      </c>
      <c r="B76" s="3" t="s">
        <v>327</v>
      </c>
      <c r="C76" s="3" t="s">
        <v>328</v>
      </c>
      <c r="D76" s="4"/>
      <c r="E76" s="4" t="s">
        <v>329</v>
      </c>
      <c r="F76" s="4" t="s">
        <v>293</v>
      </c>
      <c r="G76" s="11" t="n">
        <v>2450</v>
      </c>
      <c r="H76" s="12" t="s">
        <v>113</v>
      </c>
      <c r="I76" s="12" t="s">
        <v>114</v>
      </c>
      <c r="J76" s="4" t="n">
        <v>1</v>
      </c>
      <c r="K76" s="7" t="n">
        <v>50000</v>
      </c>
      <c r="L76" s="8" t="n">
        <v>44</v>
      </c>
      <c r="M76" s="7" t="n">
        <v>28000</v>
      </c>
      <c r="N76" s="7" t="n">
        <v>17976</v>
      </c>
      <c r="O76" s="9" t="n">
        <f aca="false">IF(AND(N(G76)&gt;0,N(M76)&gt;0),G76/M76,"")</f>
        <v>0.0875</v>
      </c>
      <c r="P76" s="7" t="n">
        <v>50000</v>
      </c>
      <c r="Q76" s="7" t="n">
        <v>28000</v>
      </c>
      <c r="R76" s="4" t="s">
        <v>30</v>
      </c>
      <c r="S76" s="7" t="n">
        <v>38590</v>
      </c>
      <c r="T76" s="7" t="n">
        <v>50000</v>
      </c>
      <c r="U76" s="7" t="n">
        <v>36590</v>
      </c>
      <c r="V76" s="7" t="n">
        <v>50000</v>
      </c>
      <c r="W76" s="10" t="s">
        <v>31</v>
      </c>
      <c r="X76" s="10" t="s">
        <v>31</v>
      </c>
    </row>
    <row r="77" customFormat="false" ht="15" hidden="false" customHeight="true" outlineLevel="0" collapsed="false">
      <c r="A77" s="3" t="s">
        <v>330</v>
      </c>
      <c r="B77" s="3" t="s">
        <v>331</v>
      </c>
      <c r="C77" s="3" t="s">
        <v>332</v>
      </c>
      <c r="D77" s="4"/>
      <c r="E77" s="4" t="s">
        <v>333</v>
      </c>
      <c r="F77" s="4" t="s">
        <v>293</v>
      </c>
      <c r="G77" s="5"/>
      <c r="H77" s="6"/>
      <c r="I77" s="6"/>
      <c r="J77" s="4" t="n">
        <v>1</v>
      </c>
      <c r="K77" s="7" t="n">
        <v>87000</v>
      </c>
      <c r="L77" s="8" t="n">
        <v>50</v>
      </c>
      <c r="M77" s="7" t="n">
        <v>43500</v>
      </c>
      <c r="N77" s="7" t="n">
        <v>27927</v>
      </c>
      <c r="O77" s="9" t="str">
        <f aca="false">IF(AND(N(G77)&gt;0,N(M77)&gt;0),G77/M77,"")</f>
        <v/>
      </c>
      <c r="P77" s="7" t="n">
        <v>87000</v>
      </c>
      <c r="Q77" s="7" t="n">
        <v>43500</v>
      </c>
      <c r="R77" s="4" t="s">
        <v>30</v>
      </c>
      <c r="S77" s="7" t="n">
        <v>63890</v>
      </c>
      <c r="T77" s="7" t="n">
        <v>87000</v>
      </c>
      <c r="U77" s="7" t="n">
        <v>60590</v>
      </c>
      <c r="V77" s="7" t="n">
        <v>87000</v>
      </c>
      <c r="W77" s="10" t="s">
        <v>31</v>
      </c>
      <c r="X77" s="10" t="s">
        <v>31</v>
      </c>
    </row>
    <row r="78" customFormat="false" ht="15" hidden="false" customHeight="true" outlineLevel="0" collapsed="false">
      <c r="A78" s="3" t="s">
        <v>334</v>
      </c>
      <c r="B78" s="3" t="s">
        <v>335</v>
      </c>
      <c r="C78" s="3" t="s">
        <v>336</v>
      </c>
      <c r="D78" s="4"/>
      <c r="E78" s="4" t="s">
        <v>337</v>
      </c>
      <c r="F78" s="4" t="s">
        <v>293</v>
      </c>
      <c r="G78" s="11" t="n">
        <v>2450</v>
      </c>
      <c r="H78" s="12" t="s">
        <v>113</v>
      </c>
      <c r="I78" s="12" t="s">
        <v>114</v>
      </c>
      <c r="J78" s="4" t="n">
        <v>1</v>
      </c>
      <c r="K78" s="7" t="n">
        <v>34375</v>
      </c>
      <c r="L78" s="8" t="n">
        <v>60</v>
      </c>
      <c r="M78" s="7" t="n">
        <v>13750</v>
      </c>
      <c r="N78" s="7" t="n">
        <v>9102</v>
      </c>
      <c r="O78" s="9" t="n">
        <f aca="false">IF(AND(N(G78)&gt;0,N(M78)&gt;0),G78/M78,"")</f>
        <v>0.178181818181818</v>
      </c>
      <c r="P78" s="7" t="n">
        <v>34375</v>
      </c>
      <c r="Q78" s="7" t="n">
        <v>13750</v>
      </c>
      <c r="R78" s="4" t="s">
        <v>30</v>
      </c>
      <c r="S78" s="7" t="n">
        <v>26890</v>
      </c>
      <c r="T78" s="7" t="n">
        <v>34375</v>
      </c>
      <c r="U78" s="7" t="n">
        <v>25590</v>
      </c>
      <c r="V78" s="7" t="n">
        <v>34375</v>
      </c>
      <c r="W78" s="10" t="s">
        <v>31</v>
      </c>
      <c r="X78" s="10" t="s">
        <v>31</v>
      </c>
    </row>
    <row r="79" customFormat="false" ht="15" hidden="false" customHeight="true" outlineLevel="0" collapsed="false">
      <c r="A79" s="3" t="s">
        <v>338</v>
      </c>
      <c r="B79" s="3" t="s">
        <v>339</v>
      </c>
      <c r="C79" s="3" t="s">
        <v>340</v>
      </c>
      <c r="D79" s="4"/>
      <c r="E79" s="4" t="s">
        <v>341</v>
      </c>
      <c r="F79" s="4" t="s">
        <v>293</v>
      </c>
      <c r="G79" s="11" t="n">
        <v>2450</v>
      </c>
      <c r="H79" s="12" t="s">
        <v>113</v>
      </c>
      <c r="I79" s="12" t="s">
        <v>114</v>
      </c>
      <c r="J79" s="4" t="n">
        <v>1</v>
      </c>
      <c r="K79" s="7" t="n">
        <v>37500</v>
      </c>
      <c r="L79" s="8" t="n">
        <v>52</v>
      </c>
      <c r="M79" s="7" t="n">
        <v>18000</v>
      </c>
      <c r="N79" s="7" t="n">
        <v>11916</v>
      </c>
      <c r="O79" s="9" t="n">
        <f aca="false">IF(AND(N(G79)&gt;0,N(M79)&gt;0),G79/M79,"")</f>
        <v>0.136111111111111</v>
      </c>
      <c r="P79" s="7" t="n">
        <v>37500</v>
      </c>
      <c r="Q79" s="7" t="n">
        <v>18000</v>
      </c>
      <c r="R79" s="4" t="s">
        <v>30</v>
      </c>
      <c r="S79" s="7" t="n">
        <v>29390</v>
      </c>
      <c r="T79" s="7" t="n">
        <v>37500</v>
      </c>
      <c r="U79" s="7" t="n">
        <v>27890</v>
      </c>
      <c r="V79" s="7" t="n">
        <v>37500</v>
      </c>
      <c r="W79" s="10" t="s">
        <v>31</v>
      </c>
      <c r="X79" s="10" t="s">
        <v>31</v>
      </c>
    </row>
    <row r="80" customFormat="false" ht="15" hidden="false" customHeight="true" outlineLevel="0" collapsed="false">
      <c r="A80" s="3" t="s">
        <v>342</v>
      </c>
      <c r="B80" s="3" t="s">
        <v>343</v>
      </c>
      <c r="C80" s="3" t="s">
        <v>344</v>
      </c>
      <c r="D80" s="4"/>
      <c r="E80" s="4" t="s">
        <v>345</v>
      </c>
      <c r="F80" s="4" t="s">
        <v>293</v>
      </c>
      <c r="G80" s="11" t="n">
        <v>2800</v>
      </c>
      <c r="H80" s="12" t="s">
        <v>113</v>
      </c>
      <c r="I80" s="12" t="s">
        <v>114</v>
      </c>
      <c r="J80" s="4" t="n">
        <v>1</v>
      </c>
      <c r="K80" s="7" t="n">
        <v>152607</v>
      </c>
      <c r="L80" s="8" t="n">
        <v>66</v>
      </c>
      <c r="M80" s="7" t="n">
        <v>51886.38</v>
      </c>
      <c r="N80" s="7" t="n">
        <v>33311</v>
      </c>
      <c r="O80" s="9" t="n">
        <f aca="false">IF(AND(N(G80)&gt;0,N(M80)&gt;0),G80/M80,"")</f>
        <v>0.0539640653288975</v>
      </c>
      <c r="P80" s="7" t="n">
        <v>152607</v>
      </c>
      <c r="Q80" s="7" t="n">
        <v>51886</v>
      </c>
      <c r="R80" s="4" t="s">
        <v>65</v>
      </c>
      <c r="S80" s="7"/>
      <c r="T80" s="7"/>
      <c r="U80" s="7"/>
      <c r="V80" s="7"/>
      <c r="W80" s="10" t="s">
        <v>31</v>
      </c>
      <c r="X80" s="10" t="s">
        <v>31</v>
      </c>
    </row>
    <row r="81" customFormat="false" ht="15" hidden="false" customHeight="true" outlineLevel="0" collapsed="false">
      <c r="A81" s="3" t="s">
        <v>346</v>
      </c>
      <c r="B81" s="3" t="s">
        <v>347</v>
      </c>
      <c r="C81" s="3" t="s">
        <v>348</v>
      </c>
      <c r="D81" s="4"/>
      <c r="E81" s="4" t="s">
        <v>349</v>
      </c>
      <c r="F81" s="4" t="s">
        <v>293</v>
      </c>
      <c r="G81" s="5"/>
      <c r="H81" s="6"/>
      <c r="I81" s="6"/>
      <c r="J81" s="4" t="n">
        <v>1</v>
      </c>
      <c r="K81" s="7" t="n">
        <v>197970</v>
      </c>
      <c r="L81" s="8" t="n">
        <v>30</v>
      </c>
      <c r="M81" s="7" t="n">
        <v>138579</v>
      </c>
      <c r="N81" s="7" t="n">
        <v>88967</v>
      </c>
      <c r="O81" s="9" t="str">
        <f aca="false">IF(AND(N(G81)&gt;0,N(M81)&gt;0),G81/M81,"")</f>
        <v/>
      </c>
      <c r="P81" s="7"/>
      <c r="Q81" s="7"/>
      <c r="R81" s="4" t="s">
        <v>155</v>
      </c>
      <c r="S81" s="7"/>
      <c r="T81" s="7"/>
      <c r="U81" s="7"/>
      <c r="V81" s="7"/>
      <c r="W81" s="10" t="s">
        <v>31</v>
      </c>
      <c r="X81" s="4"/>
    </row>
    <row r="82" customFormat="false" ht="15" hidden="false" customHeight="true" outlineLevel="0" collapsed="false">
      <c r="A82" s="3" t="s">
        <v>350</v>
      </c>
      <c r="B82" s="3" t="s">
        <v>351</v>
      </c>
      <c r="C82" s="3" t="s">
        <v>352</v>
      </c>
      <c r="D82" s="4"/>
      <c r="E82" s="4" t="s">
        <v>353</v>
      </c>
      <c r="F82" s="4" t="s">
        <v>354</v>
      </c>
      <c r="G82" s="11" t="n">
        <v>7800</v>
      </c>
      <c r="H82" s="12" t="s">
        <v>36</v>
      </c>
      <c r="I82" s="12" t="s">
        <v>37</v>
      </c>
      <c r="J82" s="4" t="n">
        <v>5</v>
      </c>
      <c r="K82" s="7" t="n">
        <v>45500</v>
      </c>
      <c r="L82" s="8" t="n">
        <v>0</v>
      </c>
      <c r="M82" s="7" t="n">
        <v>45500</v>
      </c>
      <c r="N82" s="7" t="n">
        <v>28301</v>
      </c>
      <c r="O82" s="9" t="n">
        <f aca="false">IF(AND(N(G82)&gt;0,N(M82)&gt;0),G82/M82,"")</f>
        <v>0.171428571428571</v>
      </c>
      <c r="P82" s="7" t="n">
        <v>45500</v>
      </c>
      <c r="Q82" s="7" t="n">
        <v>45500</v>
      </c>
      <c r="R82" s="4" t="s">
        <v>30</v>
      </c>
      <c r="S82" s="7"/>
      <c r="T82" s="7"/>
      <c r="U82" s="7"/>
      <c r="V82" s="7"/>
      <c r="W82" s="10" t="s">
        <v>31</v>
      </c>
      <c r="X82" s="10" t="s">
        <v>31</v>
      </c>
    </row>
    <row r="83" customFormat="false" ht="15" hidden="false" customHeight="true" outlineLevel="0" collapsed="false">
      <c r="A83" s="3" t="s">
        <v>355</v>
      </c>
      <c r="B83" s="3" t="s">
        <v>356</v>
      </c>
      <c r="C83" s="3" t="s">
        <v>357</v>
      </c>
      <c r="D83" s="4"/>
      <c r="E83" s="4" t="s">
        <v>358</v>
      </c>
      <c r="F83" s="4" t="s">
        <v>359</v>
      </c>
      <c r="G83" s="11" t="n">
        <v>2200</v>
      </c>
      <c r="H83" s="12" t="s">
        <v>36</v>
      </c>
      <c r="I83" s="12" t="s">
        <v>37</v>
      </c>
      <c r="J83" s="4" t="n">
        <v>2</v>
      </c>
      <c r="K83" s="7" t="n">
        <v>12000</v>
      </c>
      <c r="L83" s="8" t="n">
        <v>18</v>
      </c>
      <c r="M83" s="7" t="n">
        <v>9840</v>
      </c>
      <c r="N83" s="7" t="n">
        <v>6415</v>
      </c>
      <c r="O83" s="9" t="n">
        <f aca="false">IF(AND(N(G83)&gt;0,N(M83)&gt;0),G83/M83,"")</f>
        <v>0.223577235772358</v>
      </c>
      <c r="P83" s="7" t="n">
        <v>12000</v>
      </c>
      <c r="Q83" s="7" t="n">
        <v>9840</v>
      </c>
      <c r="R83" s="4" t="s">
        <v>30</v>
      </c>
      <c r="S83" s="7" t="n">
        <v>13150</v>
      </c>
      <c r="T83" s="7" t="n">
        <v>16000</v>
      </c>
      <c r="U83" s="7" t="n">
        <v>13180</v>
      </c>
      <c r="V83" s="7" t="n">
        <v>16000</v>
      </c>
      <c r="W83" s="10" t="s">
        <v>31</v>
      </c>
      <c r="X83" s="10" t="s">
        <v>31</v>
      </c>
    </row>
    <row r="84" customFormat="false" ht="15" hidden="false" customHeight="true" outlineLevel="0" collapsed="false">
      <c r="A84" s="3" t="s">
        <v>360</v>
      </c>
      <c r="B84" s="3" t="s">
        <v>361</v>
      </c>
      <c r="C84" s="3" t="s">
        <v>362</v>
      </c>
      <c r="D84" s="4" t="s">
        <v>49</v>
      </c>
      <c r="E84" s="4" t="s">
        <v>363</v>
      </c>
      <c r="F84" s="4" t="s">
        <v>29</v>
      </c>
      <c r="G84" s="5"/>
      <c r="H84" s="6"/>
      <c r="I84" s="6"/>
      <c r="J84" s="4" t="n">
        <v>0</v>
      </c>
      <c r="K84" s="7" t="n">
        <v>7500</v>
      </c>
      <c r="L84" s="8" t="n">
        <v>0</v>
      </c>
      <c r="M84" s="7" t="n">
        <v>7500</v>
      </c>
      <c r="N84" s="7"/>
      <c r="O84" s="9" t="str">
        <f aca="false">IF(AND(N(G84)&gt;0,N(M84)&gt;0),G84/M84,"")</f>
        <v/>
      </c>
      <c r="P84" s="7" t="n">
        <v>7500</v>
      </c>
      <c r="Q84" s="7" t="n">
        <v>7500</v>
      </c>
      <c r="R84" s="4" t="s">
        <v>65</v>
      </c>
      <c r="S84" s="7"/>
      <c r="T84" s="7"/>
      <c r="U84" s="7"/>
      <c r="V84" s="7"/>
      <c r="W84" s="10" t="s">
        <v>31</v>
      </c>
      <c r="X84" s="10" t="s">
        <v>31</v>
      </c>
    </row>
    <row r="85" customFormat="false" ht="15" hidden="false" customHeight="true" outlineLevel="0" collapsed="false">
      <c r="A85" s="3" t="s">
        <v>364</v>
      </c>
      <c r="B85" s="3" t="s">
        <v>361</v>
      </c>
      <c r="C85" s="3" t="s">
        <v>362</v>
      </c>
      <c r="D85" s="4" t="s">
        <v>62</v>
      </c>
      <c r="E85" s="4" t="s">
        <v>363</v>
      </c>
      <c r="F85" s="4" t="s">
        <v>29</v>
      </c>
      <c r="G85" s="5"/>
      <c r="H85" s="6"/>
      <c r="I85" s="6"/>
      <c r="J85" s="4" t="n">
        <v>0</v>
      </c>
      <c r="K85" s="7" t="n">
        <v>7500</v>
      </c>
      <c r="L85" s="8" t="n">
        <v>0</v>
      </c>
      <c r="M85" s="7" t="n">
        <v>7500</v>
      </c>
      <c r="N85" s="7"/>
      <c r="O85" s="9" t="str">
        <f aca="false">IF(AND(N(G85)&gt;0,N(M85)&gt;0),G85/M85,"")</f>
        <v/>
      </c>
      <c r="P85" s="7" t="n">
        <v>7500</v>
      </c>
      <c r="Q85" s="7" t="n">
        <v>7500</v>
      </c>
      <c r="R85" s="4" t="s">
        <v>65</v>
      </c>
      <c r="S85" s="7"/>
      <c r="T85" s="7"/>
      <c r="U85" s="7"/>
      <c r="V85" s="7"/>
      <c r="W85" s="10" t="s">
        <v>31</v>
      </c>
      <c r="X85" s="10" t="s">
        <v>31</v>
      </c>
    </row>
    <row r="86" customFormat="false" ht="15" hidden="false" customHeight="true" outlineLevel="0" collapsed="false">
      <c r="A86" s="3" t="s">
        <v>365</v>
      </c>
      <c r="B86" s="3" t="s">
        <v>366</v>
      </c>
      <c r="C86" s="3" t="s">
        <v>367</v>
      </c>
      <c r="D86" s="4" t="s">
        <v>49</v>
      </c>
      <c r="E86" s="4" t="s">
        <v>368</v>
      </c>
      <c r="F86" s="4" t="s">
        <v>29</v>
      </c>
      <c r="G86" s="5"/>
      <c r="H86" s="6"/>
      <c r="I86" s="6"/>
      <c r="J86" s="4" t="n">
        <v>0</v>
      </c>
      <c r="K86" s="7" t="n">
        <v>12500</v>
      </c>
      <c r="L86" s="8" t="n">
        <v>0</v>
      </c>
      <c r="M86" s="7" t="n">
        <v>12500</v>
      </c>
      <c r="N86" s="7"/>
      <c r="O86" s="9" t="str">
        <f aca="false">IF(AND(N(G86)&gt;0,N(M86)&gt;0),G86/M86,"")</f>
        <v/>
      </c>
      <c r="P86" s="7" t="n">
        <v>12500</v>
      </c>
      <c r="Q86" s="7" t="n">
        <v>12500</v>
      </c>
      <c r="R86" s="4" t="s">
        <v>65</v>
      </c>
      <c r="S86" s="7"/>
      <c r="T86" s="7"/>
      <c r="U86" s="7"/>
      <c r="V86" s="7"/>
      <c r="W86" s="10" t="s">
        <v>31</v>
      </c>
      <c r="X86" s="10" t="s">
        <v>31</v>
      </c>
    </row>
    <row r="87" customFormat="false" ht="15" hidden="false" customHeight="true" outlineLevel="0" collapsed="false">
      <c r="A87" s="3" t="s">
        <v>369</v>
      </c>
      <c r="B87" s="3" t="s">
        <v>366</v>
      </c>
      <c r="C87" s="3" t="s">
        <v>367</v>
      </c>
      <c r="D87" s="4" t="s">
        <v>370</v>
      </c>
      <c r="E87" s="4" t="s">
        <v>368</v>
      </c>
      <c r="F87" s="4" t="s">
        <v>29</v>
      </c>
      <c r="G87" s="5"/>
      <c r="H87" s="6"/>
      <c r="I87" s="6"/>
      <c r="J87" s="4" t="n">
        <v>0</v>
      </c>
      <c r="K87" s="7" t="n">
        <v>12500</v>
      </c>
      <c r="L87" s="8" t="n">
        <v>0</v>
      </c>
      <c r="M87" s="7" t="n">
        <v>12500</v>
      </c>
      <c r="N87" s="7"/>
      <c r="O87" s="9" t="str">
        <f aca="false">IF(AND(N(G87)&gt;0,N(M87)&gt;0),G87/M87,"")</f>
        <v/>
      </c>
      <c r="P87" s="7" t="n">
        <v>12500</v>
      </c>
      <c r="Q87" s="7" t="n">
        <v>12500</v>
      </c>
      <c r="R87" s="4" t="s">
        <v>65</v>
      </c>
      <c r="S87" s="7"/>
      <c r="T87" s="7"/>
      <c r="U87" s="7"/>
      <c r="V87" s="7"/>
      <c r="W87" s="10" t="s">
        <v>31</v>
      </c>
      <c r="X87" s="10" t="s">
        <v>31</v>
      </c>
    </row>
    <row r="88" customFormat="false" ht="15" hidden="false" customHeight="true" outlineLevel="0" collapsed="false">
      <c r="A88" s="3" t="s">
        <v>371</v>
      </c>
      <c r="B88" s="3" t="s">
        <v>366</v>
      </c>
      <c r="C88" s="3" t="s">
        <v>367</v>
      </c>
      <c r="D88" s="4" t="s">
        <v>27</v>
      </c>
      <c r="E88" s="4" t="s">
        <v>368</v>
      </c>
      <c r="F88" s="4" t="s">
        <v>29</v>
      </c>
      <c r="G88" s="5"/>
      <c r="H88" s="6"/>
      <c r="I88" s="6"/>
      <c r="J88" s="4" t="n">
        <v>0</v>
      </c>
      <c r="K88" s="7" t="n">
        <v>12500</v>
      </c>
      <c r="L88" s="8" t="n">
        <v>0</v>
      </c>
      <c r="M88" s="7" t="n">
        <v>12500</v>
      </c>
      <c r="N88" s="7"/>
      <c r="O88" s="9" t="str">
        <f aca="false">IF(AND(N(G88)&gt;0,N(M88)&gt;0),G88/M88,"")</f>
        <v/>
      </c>
      <c r="P88" s="7" t="n">
        <v>12500</v>
      </c>
      <c r="Q88" s="7" t="n">
        <v>12500</v>
      </c>
      <c r="R88" s="4" t="s">
        <v>65</v>
      </c>
      <c r="S88" s="7"/>
      <c r="T88" s="7"/>
      <c r="U88" s="7"/>
      <c r="V88" s="7"/>
      <c r="W88" s="10" t="s">
        <v>31</v>
      </c>
      <c r="X88" s="10" t="s">
        <v>31</v>
      </c>
    </row>
    <row r="89" customFormat="false" ht="15" hidden="false" customHeight="true" outlineLevel="0" collapsed="false">
      <c r="A89" s="3" t="s">
        <v>372</v>
      </c>
      <c r="B89" s="3" t="s">
        <v>373</v>
      </c>
      <c r="C89" s="3" t="s">
        <v>374</v>
      </c>
      <c r="D89" s="4" t="s">
        <v>62</v>
      </c>
      <c r="E89" s="4" t="s">
        <v>375</v>
      </c>
      <c r="F89" s="4" t="s">
        <v>29</v>
      </c>
      <c r="G89" s="5"/>
      <c r="H89" s="6"/>
      <c r="I89" s="6"/>
      <c r="J89" s="4" t="n">
        <v>0</v>
      </c>
      <c r="K89" s="7" t="n">
        <v>2500</v>
      </c>
      <c r="L89" s="8" t="n">
        <v>0</v>
      </c>
      <c r="M89" s="7" t="n">
        <v>2500</v>
      </c>
      <c r="N89" s="7"/>
      <c r="O89" s="9" t="str">
        <f aca="false">IF(AND(N(G89)&gt;0,N(M89)&gt;0),G89/M89,"")</f>
        <v/>
      </c>
      <c r="P89" s="7" t="n">
        <v>2500</v>
      </c>
      <c r="Q89" s="7" t="n">
        <v>2500</v>
      </c>
      <c r="R89" s="4" t="s">
        <v>65</v>
      </c>
      <c r="S89" s="7"/>
      <c r="T89" s="7"/>
      <c r="U89" s="7"/>
      <c r="V89" s="7"/>
      <c r="W89" s="10" t="s">
        <v>31</v>
      </c>
      <c r="X89" s="10" t="s">
        <v>31</v>
      </c>
    </row>
    <row r="90" customFormat="false" ht="15" hidden="false" customHeight="true" outlineLevel="0" collapsed="false">
      <c r="A90" s="3" t="s">
        <v>376</v>
      </c>
      <c r="B90" s="3" t="s">
        <v>377</v>
      </c>
      <c r="C90" s="3" t="s">
        <v>378</v>
      </c>
      <c r="D90" s="4" t="s">
        <v>49</v>
      </c>
      <c r="E90" s="4" t="s">
        <v>379</v>
      </c>
      <c r="F90" s="4" t="s">
        <v>29</v>
      </c>
      <c r="G90" s="5"/>
      <c r="H90" s="6"/>
      <c r="I90" s="6"/>
      <c r="J90" s="4" t="n">
        <v>0</v>
      </c>
      <c r="K90" s="7" t="n">
        <v>5000</v>
      </c>
      <c r="L90" s="8" t="n">
        <v>0</v>
      </c>
      <c r="M90" s="7" t="n">
        <v>5000</v>
      </c>
      <c r="N90" s="7"/>
      <c r="O90" s="9" t="str">
        <f aca="false">IF(AND(N(G90)&gt;0,N(M90)&gt;0),G90/M90,"")</f>
        <v/>
      </c>
      <c r="P90" s="7" t="n">
        <v>5000</v>
      </c>
      <c r="Q90" s="7" t="n">
        <v>5000</v>
      </c>
      <c r="R90" s="4" t="s">
        <v>65</v>
      </c>
      <c r="S90" s="7"/>
      <c r="T90" s="7"/>
      <c r="U90" s="7"/>
      <c r="V90" s="7"/>
      <c r="W90" s="10" t="s">
        <v>31</v>
      </c>
      <c r="X90" s="10" t="s">
        <v>31</v>
      </c>
    </row>
    <row r="91" customFormat="false" ht="15" hidden="false" customHeight="true" outlineLevel="0" collapsed="false">
      <c r="A91" s="3" t="s">
        <v>380</v>
      </c>
      <c r="B91" s="3" t="s">
        <v>381</v>
      </c>
      <c r="C91" s="3" t="s">
        <v>382</v>
      </c>
      <c r="D91" s="4" t="s">
        <v>49</v>
      </c>
      <c r="E91" s="4" t="s">
        <v>383</v>
      </c>
      <c r="F91" s="4" t="s">
        <v>29</v>
      </c>
      <c r="G91" s="5"/>
      <c r="H91" s="6"/>
      <c r="I91" s="6"/>
      <c r="J91" s="4" t="n">
        <v>0</v>
      </c>
      <c r="K91" s="7" t="n">
        <v>6900</v>
      </c>
      <c r="L91" s="8" t="n">
        <v>0</v>
      </c>
      <c r="M91" s="7" t="n">
        <v>6900</v>
      </c>
      <c r="N91" s="7"/>
      <c r="O91" s="9" t="str">
        <f aca="false">IF(AND(N(G91)&gt;0,N(M91)&gt;0),G91/M91,"")</f>
        <v/>
      </c>
      <c r="P91" s="7" t="n">
        <v>6900</v>
      </c>
      <c r="Q91" s="7" t="n">
        <v>6900</v>
      </c>
      <c r="R91" s="4" t="s">
        <v>65</v>
      </c>
      <c r="S91" s="7"/>
      <c r="T91" s="7"/>
      <c r="U91" s="7"/>
      <c r="V91" s="7"/>
      <c r="W91" s="10" t="s">
        <v>31</v>
      </c>
      <c r="X91" s="10" t="s">
        <v>31</v>
      </c>
    </row>
    <row r="92" customFormat="false" ht="15" hidden="false" customHeight="true" outlineLevel="0" collapsed="false">
      <c r="A92" s="3" t="s">
        <v>384</v>
      </c>
      <c r="B92" s="3" t="s">
        <v>381</v>
      </c>
      <c r="C92" s="3" t="s">
        <v>382</v>
      </c>
      <c r="D92" s="4" t="s">
        <v>370</v>
      </c>
      <c r="E92" s="4" t="s">
        <v>383</v>
      </c>
      <c r="F92" s="4" t="s">
        <v>29</v>
      </c>
      <c r="G92" s="5"/>
      <c r="H92" s="6"/>
      <c r="I92" s="6"/>
      <c r="J92" s="4" t="n">
        <v>0</v>
      </c>
      <c r="K92" s="7" t="n">
        <v>6900</v>
      </c>
      <c r="L92" s="8" t="n">
        <v>0</v>
      </c>
      <c r="M92" s="7" t="n">
        <v>6900</v>
      </c>
      <c r="N92" s="7"/>
      <c r="O92" s="9" t="str">
        <f aca="false">IF(AND(N(G92)&gt;0,N(M92)&gt;0),G92/M92,"")</f>
        <v/>
      </c>
      <c r="P92" s="7" t="n">
        <v>6900</v>
      </c>
      <c r="Q92" s="7" t="n">
        <v>6900</v>
      </c>
      <c r="R92" s="4" t="s">
        <v>65</v>
      </c>
      <c r="S92" s="7"/>
      <c r="T92" s="7"/>
      <c r="U92" s="7"/>
      <c r="V92" s="7"/>
      <c r="W92" s="10" t="s">
        <v>31</v>
      </c>
      <c r="X92" s="10" t="s">
        <v>31</v>
      </c>
    </row>
    <row r="93" customFormat="false" ht="15" hidden="false" customHeight="true" outlineLevel="0" collapsed="false">
      <c r="A93" s="3" t="s">
        <v>385</v>
      </c>
      <c r="B93" s="3" t="s">
        <v>381</v>
      </c>
      <c r="C93" s="3" t="s">
        <v>382</v>
      </c>
      <c r="D93" s="4" t="s">
        <v>27</v>
      </c>
      <c r="E93" s="4" t="s">
        <v>383</v>
      </c>
      <c r="F93" s="4" t="s">
        <v>29</v>
      </c>
      <c r="G93" s="5"/>
      <c r="H93" s="6"/>
      <c r="I93" s="6"/>
      <c r="J93" s="4" t="n">
        <v>0</v>
      </c>
      <c r="K93" s="7" t="n">
        <v>6900</v>
      </c>
      <c r="L93" s="8" t="n">
        <v>0</v>
      </c>
      <c r="M93" s="7" t="n">
        <v>6900</v>
      </c>
      <c r="N93" s="7"/>
      <c r="O93" s="9" t="str">
        <f aca="false">IF(AND(N(G93)&gt;0,N(M93)&gt;0),G93/M93,"")</f>
        <v/>
      </c>
      <c r="P93" s="7" t="n">
        <v>6900</v>
      </c>
      <c r="Q93" s="7" t="n">
        <v>6900</v>
      </c>
      <c r="R93" s="4" t="s">
        <v>65</v>
      </c>
      <c r="S93" s="7"/>
      <c r="T93" s="7"/>
      <c r="U93" s="7"/>
      <c r="V93" s="7"/>
      <c r="W93" s="10" t="s">
        <v>31</v>
      </c>
      <c r="X93" s="10" t="s">
        <v>31</v>
      </c>
    </row>
    <row r="94" customFormat="false" ht="15" hidden="false" customHeight="true" outlineLevel="0" collapsed="false">
      <c r="A94" s="3" t="s">
        <v>386</v>
      </c>
      <c r="B94" s="3" t="s">
        <v>25</v>
      </c>
      <c r="C94" s="3" t="s">
        <v>26</v>
      </c>
      <c r="D94" s="4" t="s">
        <v>62</v>
      </c>
      <c r="E94" s="4" t="s">
        <v>28</v>
      </c>
      <c r="F94" s="4" t="s">
        <v>29</v>
      </c>
      <c r="G94" s="5"/>
      <c r="H94" s="6"/>
      <c r="I94" s="6"/>
      <c r="J94" s="4" t="n">
        <v>0</v>
      </c>
      <c r="K94" s="7" t="n">
        <v>15800</v>
      </c>
      <c r="L94" s="8" t="n">
        <v>42</v>
      </c>
      <c r="M94" s="7" t="n">
        <v>9164</v>
      </c>
      <c r="N94" s="7" t="n">
        <v>5974</v>
      </c>
      <c r="O94" s="9" t="str">
        <f aca="false">IF(AND(N(G94)&gt;0,N(M94)&gt;0),G94/M94,"")</f>
        <v/>
      </c>
      <c r="P94" s="7" t="n">
        <v>15800</v>
      </c>
      <c r="Q94" s="7" t="n">
        <v>9164</v>
      </c>
      <c r="R94" s="4" t="s">
        <v>65</v>
      </c>
      <c r="S94" s="7" t="n">
        <v>9890</v>
      </c>
      <c r="T94" s="7" t="n">
        <v>15800</v>
      </c>
      <c r="U94" s="7" t="n">
        <v>9190</v>
      </c>
      <c r="V94" s="7" t="n">
        <v>15800</v>
      </c>
      <c r="W94" s="10" t="s">
        <v>31</v>
      </c>
      <c r="X94" s="10" t="s">
        <v>31</v>
      </c>
    </row>
    <row r="95" customFormat="false" ht="15" hidden="false" customHeight="true" outlineLevel="0" collapsed="false">
      <c r="A95" s="3" t="s">
        <v>387</v>
      </c>
      <c r="B95" s="3" t="s">
        <v>25</v>
      </c>
      <c r="C95" s="3" t="s">
        <v>26</v>
      </c>
      <c r="D95" s="4" t="s">
        <v>370</v>
      </c>
      <c r="E95" s="4" t="s">
        <v>28</v>
      </c>
      <c r="F95" s="4" t="s">
        <v>29</v>
      </c>
      <c r="G95" s="5"/>
      <c r="H95" s="6"/>
      <c r="I95" s="6"/>
      <c r="J95" s="4" t="n">
        <v>0</v>
      </c>
      <c r="K95" s="7" t="n">
        <v>15800</v>
      </c>
      <c r="L95" s="8" t="n">
        <v>42</v>
      </c>
      <c r="M95" s="7" t="n">
        <v>9164</v>
      </c>
      <c r="N95" s="7" t="n">
        <v>5974</v>
      </c>
      <c r="O95" s="9" t="str">
        <f aca="false">IF(AND(N(G95)&gt;0,N(M95)&gt;0),G95/M95,"")</f>
        <v/>
      </c>
      <c r="P95" s="7" t="n">
        <v>15800</v>
      </c>
      <c r="Q95" s="7" t="n">
        <v>9164</v>
      </c>
      <c r="R95" s="4" t="s">
        <v>65</v>
      </c>
      <c r="S95" s="7" t="n">
        <v>9890</v>
      </c>
      <c r="T95" s="7" t="n">
        <v>15800</v>
      </c>
      <c r="U95" s="7" t="n">
        <v>9190</v>
      </c>
      <c r="V95" s="7" t="n">
        <v>15800</v>
      </c>
      <c r="W95" s="10" t="s">
        <v>31</v>
      </c>
      <c r="X95" s="10" t="s">
        <v>31</v>
      </c>
    </row>
    <row r="96" customFormat="false" ht="15" hidden="false" customHeight="true" outlineLevel="0" collapsed="false">
      <c r="A96" s="3" t="s">
        <v>388</v>
      </c>
      <c r="B96" s="3" t="s">
        <v>389</v>
      </c>
      <c r="C96" s="3" t="s">
        <v>390</v>
      </c>
      <c r="D96" s="4" t="s">
        <v>62</v>
      </c>
      <c r="E96" s="4" t="s">
        <v>391</v>
      </c>
      <c r="F96" s="4" t="s">
        <v>29</v>
      </c>
      <c r="G96" s="5"/>
      <c r="H96" s="6"/>
      <c r="I96" s="6"/>
      <c r="J96" s="4" t="n">
        <v>0</v>
      </c>
      <c r="K96" s="7" t="n">
        <v>9500</v>
      </c>
      <c r="L96" s="8" t="n">
        <v>0</v>
      </c>
      <c r="M96" s="7" t="n">
        <v>9500</v>
      </c>
      <c r="N96" s="7"/>
      <c r="O96" s="9" t="str">
        <f aca="false">IF(AND(N(G96)&gt;0,N(M96)&gt;0),G96/M96,"")</f>
        <v/>
      </c>
      <c r="P96" s="7" t="n">
        <v>9500</v>
      </c>
      <c r="Q96" s="7" t="n">
        <v>9500</v>
      </c>
      <c r="R96" s="4" t="s">
        <v>65</v>
      </c>
      <c r="S96" s="7"/>
      <c r="T96" s="7"/>
      <c r="U96" s="7"/>
      <c r="V96" s="7"/>
      <c r="W96" s="10" t="s">
        <v>31</v>
      </c>
      <c r="X96" s="10" t="s">
        <v>31</v>
      </c>
    </row>
    <row r="97" customFormat="false" ht="15" hidden="false" customHeight="true" outlineLevel="0" collapsed="false">
      <c r="A97" s="3" t="s">
        <v>392</v>
      </c>
      <c r="B97" s="3" t="s">
        <v>33</v>
      </c>
      <c r="C97" s="3" t="s">
        <v>34</v>
      </c>
      <c r="D97" s="4" t="s">
        <v>370</v>
      </c>
      <c r="E97" s="4" t="s">
        <v>35</v>
      </c>
      <c r="F97" s="4" t="s">
        <v>29</v>
      </c>
      <c r="G97" s="11" t="n">
        <v>3350</v>
      </c>
      <c r="H97" s="12" t="s">
        <v>36</v>
      </c>
      <c r="I97" s="12" t="s">
        <v>37</v>
      </c>
      <c r="J97" s="4" t="n">
        <v>0</v>
      </c>
      <c r="K97" s="7" t="n">
        <v>18000</v>
      </c>
      <c r="L97" s="8" t="n">
        <v>38</v>
      </c>
      <c r="M97" s="7" t="n">
        <v>11160</v>
      </c>
      <c r="N97" s="7" t="n">
        <v>7387</v>
      </c>
      <c r="O97" s="9" t="n">
        <f aca="false">IF(AND(N(G97)&gt;0,N(M97)&gt;0),G97/M97,"")</f>
        <v>0.300179211469534</v>
      </c>
      <c r="P97" s="7" t="n">
        <v>18000</v>
      </c>
      <c r="Q97" s="7" t="n">
        <v>11160</v>
      </c>
      <c r="R97" s="4" t="s">
        <v>65</v>
      </c>
      <c r="S97" s="7" t="n">
        <v>14590</v>
      </c>
      <c r="T97" s="7" t="n">
        <v>18000</v>
      </c>
      <c r="U97" s="7" t="n">
        <v>13590</v>
      </c>
      <c r="V97" s="7" t="n">
        <v>18000</v>
      </c>
      <c r="W97" s="10" t="s">
        <v>31</v>
      </c>
      <c r="X97" s="10" t="s">
        <v>31</v>
      </c>
    </row>
    <row r="98" customFormat="false" ht="15" hidden="false" customHeight="true" outlineLevel="0" collapsed="false">
      <c r="A98" s="3" t="s">
        <v>393</v>
      </c>
      <c r="B98" s="3" t="s">
        <v>33</v>
      </c>
      <c r="C98" s="3" t="s">
        <v>34</v>
      </c>
      <c r="D98" s="4" t="s">
        <v>67</v>
      </c>
      <c r="E98" s="4" t="s">
        <v>35</v>
      </c>
      <c r="F98" s="4" t="s">
        <v>29</v>
      </c>
      <c r="G98" s="11" t="n">
        <v>3350</v>
      </c>
      <c r="H98" s="12" t="s">
        <v>36</v>
      </c>
      <c r="I98" s="12" t="s">
        <v>37</v>
      </c>
      <c r="J98" s="4" t="n">
        <v>0</v>
      </c>
      <c r="K98" s="7" t="n">
        <v>18000</v>
      </c>
      <c r="L98" s="8" t="n">
        <v>38</v>
      </c>
      <c r="M98" s="7" t="n">
        <v>11160</v>
      </c>
      <c r="N98" s="7" t="n">
        <v>7387</v>
      </c>
      <c r="O98" s="9" t="n">
        <f aca="false">IF(AND(N(G98)&gt;0,N(M98)&gt;0),G98/M98,"")</f>
        <v>0.300179211469534</v>
      </c>
      <c r="P98" s="7" t="n">
        <v>18000</v>
      </c>
      <c r="Q98" s="7" t="n">
        <v>11160</v>
      </c>
      <c r="R98" s="4" t="s">
        <v>65</v>
      </c>
      <c r="S98" s="7" t="n">
        <v>14590</v>
      </c>
      <c r="T98" s="7" t="n">
        <v>18000</v>
      </c>
      <c r="U98" s="7" t="n">
        <v>13590</v>
      </c>
      <c r="V98" s="7" t="n">
        <v>18000</v>
      </c>
      <c r="W98" s="10" t="s">
        <v>31</v>
      </c>
      <c r="X98" s="10" t="s">
        <v>31</v>
      </c>
    </row>
    <row r="99" customFormat="false" ht="15" hidden="false" customHeight="true" outlineLevel="0" collapsed="false">
      <c r="A99" s="3" t="s">
        <v>394</v>
      </c>
      <c r="B99" s="3" t="s">
        <v>39</v>
      </c>
      <c r="C99" s="3" t="s">
        <v>40</v>
      </c>
      <c r="D99" s="4" t="s">
        <v>62</v>
      </c>
      <c r="E99" s="4" t="s">
        <v>41</v>
      </c>
      <c r="F99" s="4" t="s">
        <v>29</v>
      </c>
      <c r="G99" s="11" t="n">
        <v>2300</v>
      </c>
      <c r="H99" s="12" t="s">
        <v>36</v>
      </c>
      <c r="I99" s="12" t="s">
        <v>37</v>
      </c>
      <c r="J99" s="4" t="n">
        <v>0</v>
      </c>
      <c r="K99" s="7" t="n">
        <v>20600</v>
      </c>
      <c r="L99" s="8" t="n">
        <v>57</v>
      </c>
      <c r="M99" s="7" t="n">
        <v>8858</v>
      </c>
      <c r="N99" s="7" t="n">
        <v>5775</v>
      </c>
      <c r="O99" s="9" t="n">
        <f aca="false">IF(AND(N(G99)&gt;0,N(M99)&gt;0),G99/M99,"")</f>
        <v>0.259652291713705</v>
      </c>
      <c r="P99" s="7" t="n">
        <v>20600</v>
      </c>
      <c r="Q99" s="7" t="n">
        <v>8858</v>
      </c>
      <c r="R99" s="4" t="s">
        <v>65</v>
      </c>
      <c r="S99" s="7" t="n">
        <v>12890</v>
      </c>
      <c r="T99" s="7" t="n">
        <v>20600</v>
      </c>
      <c r="U99" s="7" t="n">
        <v>11990</v>
      </c>
      <c r="V99" s="7" t="n">
        <v>20600</v>
      </c>
      <c r="W99" s="10" t="s">
        <v>31</v>
      </c>
      <c r="X99" s="10" t="s">
        <v>31</v>
      </c>
    </row>
    <row r="100" customFormat="false" ht="15" hidden="false" customHeight="true" outlineLevel="0" collapsed="false">
      <c r="A100" s="3" t="s">
        <v>395</v>
      </c>
      <c r="B100" s="3" t="s">
        <v>39</v>
      </c>
      <c r="C100" s="3" t="s">
        <v>40</v>
      </c>
      <c r="D100" s="4" t="s">
        <v>370</v>
      </c>
      <c r="E100" s="4" t="s">
        <v>41</v>
      </c>
      <c r="F100" s="4" t="s">
        <v>29</v>
      </c>
      <c r="G100" s="11" t="n">
        <v>2300</v>
      </c>
      <c r="H100" s="12" t="s">
        <v>36</v>
      </c>
      <c r="I100" s="12" t="s">
        <v>37</v>
      </c>
      <c r="J100" s="4" t="n">
        <v>0</v>
      </c>
      <c r="K100" s="7" t="n">
        <v>20600</v>
      </c>
      <c r="L100" s="8" t="n">
        <v>57</v>
      </c>
      <c r="M100" s="7" t="n">
        <v>8858</v>
      </c>
      <c r="N100" s="7" t="n">
        <v>5775</v>
      </c>
      <c r="O100" s="9" t="n">
        <f aca="false">IF(AND(N(G100)&gt;0,N(M100)&gt;0),G100/M100,"")</f>
        <v>0.259652291713705</v>
      </c>
      <c r="P100" s="7" t="n">
        <v>20600</v>
      </c>
      <c r="Q100" s="7" t="n">
        <v>8858</v>
      </c>
      <c r="R100" s="4" t="s">
        <v>65</v>
      </c>
      <c r="S100" s="7" t="n">
        <v>12890</v>
      </c>
      <c r="T100" s="7" t="n">
        <v>20600</v>
      </c>
      <c r="U100" s="7" t="n">
        <v>11990</v>
      </c>
      <c r="V100" s="7" t="n">
        <v>20600</v>
      </c>
      <c r="W100" s="10" t="s">
        <v>31</v>
      </c>
      <c r="X100" s="10" t="s">
        <v>31</v>
      </c>
    </row>
    <row r="101" customFormat="false" ht="15" hidden="false" customHeight="true" outlineLevel="0" collapsed="false">
      <c r="A101" s="3" t="s">
        <v>396</v>
      </c>
      <c r="B101" s="3" t="s">
        <v>397</v>
      </c>
      <c r="C101" s="3" t="s">
        <v>398</v>
      </c>
      <c r="D101" s="4" t="s">
        <v>49</v>
      </c>
      <c r="E101" s="4" t="s">
        <v>399</v>
      </c>
      <c r="F101" s="4" t="s">
        <v>29</v>
      </c>
      <c r="G101" s="11" t="n">
        <v>2500</v>
      </c>
      <c r="H101" s="12" t="s">
        <v>36</v>
      </c>
      <c r="I101" s="12" t="s">
        <v>37</v>
      </c>
      <c r="J101" s="4" t="n">
        <v>0</v>
      </c>
      <c r="K101" s="7" t="n">
        <v>10000</v>
      </c>
      <c r="L101" s="8" t="n">
        <v>0</v>
      </c>
      <c r="M101" s="7" t="n">
        <v>10000</v>
      </c>
      <c r="N101" s="7"/>
      <c r="O101" s="9" t="n">
        <f aca="false">IF(AND(N(G101)&gt;0,N(M101)&gt;0),G101/M101,"")</f>
        <v>0.25</v>
      </c>
      <c r="P101" s="7" t="n">
        <v>10000</v>
      </c>
      <c r="Q101" s="7" t="n">
        <v>10000</v>
      </c>
      <c r="R101" s="4" t="s">
        <v>65</v>
      </c>
      <c r="S101" s="7"/>
      <c r="T101" s="7"/>
      <c r="U101" s="7"/>
      <c r="V101" s="7"/>
      <c r="W101" s="10" t="s">
        <v>31</v>
      </c>
      <c r="X101" s="10" t="s">
        <v>31</v>
      </c>
    </row>
    <row r="102" customFormat="false" ht="15" hidden="false" customHeight="true" outlineLevel="0" collapsed="false">
      <c r="A102" s="3" t="s">
        <v>400</v>
      </c>
      <c r="B102" s="3" t="s">
        <v>43</v>
      </c>
      <c r="C102" s="3" t="s">
        <v>44</v>
      </c>
      <c r="D102" s="4" t="s">
        <v>62</v>
      </c>
      <c r="E102" s="4" t="s">
        <v>45</v>
      </c>
      <c r="F102" s="4" t="s">
        <v>29</v>
      </c>
      <c r="G102" s="11" t="n">
        <v>1300</v>
      </c>
      <c r="H102" s="12" t="s">
        <v>36</v>
      </c>
      <c r="I102" s="12" t="s">
        <v>37</v>
      </c>
      <c r="J102" s="4" t="n">
        <v>0</v>
      </c>
      <c r="K102" s="7" t="n">
        <v>11875</v>
      </c>
      <c r="L102" s="8" t="n">
        <v>48</v>
      </c>
      <c r="M102" s="7" t="n">
        <v>6175</v>
      </c>
      <c r="N102" s="7" t="n">
        <v>4026</v>
      </c>
      <c r="O102" s="9" t="n">
        <f aca="false">IF(AND(N(G102)&gt;0,N(M102)&gt;0),G102/M102,"")</f>
        <v>0.210526315789474</v>
      </c>
      <c r="P102" s="7" t="n">
        <v>11875</v>
      </c>
      <c r="Q102" s="7" t="n">
        <v>6175</v>
      </c>
      <c r="R102" s="4" t="s">
        <v>30</v>
      </c>
      <c r="S102" s="7" t="n">
        <v>8290</v>
      </c>
      <c r="T102" s="7" t="n">
        <v>11875</v>
      </c>
      <c r="U102" s="7" t="n">
        <v>7790</v>
      </c>
      <c r="V102" s="7" t="n">
        <v>11875</v>
      </c>
      <c r="W102" s="10" t="s">
        <v>31</v>
      </c>
      <c r="X102" s="10" t="s">
        <v>31</v>
      </c>
    </row>
    <row r="103" customFormat="false" ht="15" hidden="false" customHeight="true" outlineLevel="0" collapsed="false">
      <c r="A103" s="3" t="s">
        <v>401</v>
      </c>
      <c r="B103" s="3" t="s">
        <v>43</v>
      </c>
      <c r="C103" s="3" t="s">
        <v>44</v>
      </c>
      <c r="D103" s="4" t="s">
        <v>370</v>
      </c>
      <c r="E103" s="4" t="s">
        <v>45</v>
      </c>
      <c r="F103" s="4" t="s">
        <v>29</v>
      </c>
      <c r="G103" s="11" t="n">
        <v>1300</v>
      </c>
      <c r="H103" s="12" t="s">
        <v>36</v>
      </c>
      <c r="I103" s="12" t="s">
        <v>37</v>
      </c>
      <c r="J103" s="4" t="n">
        <v>0</v>
      </c>
      <c r="K103" s="7" t="n">
        <v>11875</v>
      </c>
      <c r="L103" s="8" t="n">
        <v>48</v>
      </c>
      <c r="M103" s="7" t="n">
        <v>6175</v>
      </c>
      <c r="N103" s="7" t="n">
        <v>4026</v>
      </c>
      <c r="O103" s="9" t="n">
        <f aca="false">IF(AND(N(G103)&gt;0,N(M103)&gt;0),G103/M103,"")</f>
        <v>0.210526315789474</v>
      </c>
      <c r="P103" s="7" t="n">
        <v>11875</v>
      </c>
      <c r="Q103" s="7" t="n">
        <v>6175</v>
      </c>
      <c r="R103" s="4" t="s">
        <v>65</v>
      </c>
      <c r="S103" s="7" t="n">
        <v>8290</v>
      </c>
      <c r="T103" s="7" t="n">
        <v>11875</v>
      </c>
      <c r="U103" s="7" t="n">
        <v>7790</v>
      </c>
      <c r="V103" s="7" t="n">
        <v>11875</v>
      </c>
      <c r="W103" s="10" t="s">
        <v>31</v>
      </c>
      <c r="X103" s="10" t="s">
        <v>31</v>
      </c>
    </row>
    <row r="104" customFormat="false" ht="15" hidden="false" customHeight="true" outlineLevel="0" collapsed="false">
      <c r="A104" s="3" t="s">
        <v>402</v>
      </c>
      <c r="B104" s="3" t="s">
        <v>43</v>
      </c>
      <c r="C104" s="3" t="s">
        <v>44</v>
      </c>
      <c r="D104" s="4" t="s">
        <v>67</v>
      </c>
      <c r="E104" s="4" t="s">
        <v>45</v>
      </c>
      <c r="F104" s="4" t="s">
        <v>29</v>
      </c>
      <c r="G104" s="11" t="n">
        <v>1300</v>
      </c>
      <c r="H104" s="12" t="s">
        <v>36</v>
      </c>
      <c r="I104" s="12" t="s">
        <v>37</v>
      </c>
      <c r="J104" s="4" t="n">
        <v>0</v>
      </c>
      <c r="K104" s="7" t="n">
        <v>11875</v>
      </c>
      <c r="L104" s="8" t="n">
        <v>48</v>
      </c>
      <c r="M104" s="7" t="n">
        <v>6175</v>
      </c>
      <c r="N104" s="7" t="n">
        <v>4026</v>
      </c>
      <c r="O104" s="9" t="n">
        <f aca="false">IF(AND(N(G104)&gt;0,N(M104)&gt;0),G104/M104,"")</f>
        <v>0.210526315789474</v>
      </c>
      <c r="P104" s="7" t="n">
        <v>11875</v>
      </c>
      <c r="Q104" s="7" t="n">
        <v>6175</v>
      </c>
      <c r="R104" s="4" t="s">
        <v>65</v>
      </c>
      <c r="S104" s="7" t="n">
        <v>8290</v>
      </c>
      <c r="T104" s="7" t="n">
        <v>11875</v>
      </c>
      <c r="U104" s="7" t="n">
        <v>7790</v>
      </c>
      <c r="V104" s="7" t="n">
        <v>11875</v>
      </c>
      <c r="W104" s="10" t="s">
        <v>31</v>
      </c>
      <c r="X104" s="10" t="s">
        <v>31</v>
      </c>
    </row>
    <row r="105" customFormat="false" ht="15" hidden="false" customHeight="true" outlineLevel="0" collapsed="false">
      <c r="A105" s="3" t="s">
        <v>403</v>
      </c>
      <c r="B105" s="3" t="s">
        <v>404</v>
      </c>
      <c r="C105" s="3" t="s">
        <v>405</v>
      </c>
      <c r="D105" s="4" t="s">
        <v>62</v>
      </c>
      <c r="E105" s="4" t="s">
        <v>406</v>
      </c>
      <c r="F105" s="4" t="s">
        <v>29</v>
      </c>
      <c r="G105" s="5"/>
      <c r="H105" s="6"/>
      <c r="I105" s="6"/>
      <c r="J105" s="4" t="n">
        <v>0</v>
      </c>
      <c r="K105" s="7" t="n">
        <v>33000</v>
      </c>
      <c r="L105" s="8" t="n">
        <v>0</v>
      </c>
      <c r="M105" s="7" t="n">
        <v>33000</v>
      </c>
      <c r="N105" s="7"/>
      <c r="O105" s="9" t="str">
        <f aca="false">IF(AND(N(G105)&gt;0,N(M105)&gt;0),G105/M105,"")</f>
        <v/>
      </c>
      <c r="P105" s="7" t="n">
        <v>33000</v>
      </c>
      <c r="Q105" s="7" t="n">
        <v>33000</v>
      </c>
      <c r="R105" s="4" t="s">
        <v>65</v>
      </c>
      <c r="S105" s="7"/>
      <c r="T105" s="7"/>
      <c r="U105" s="7"/>
      <c r="V105" s="7"/>
      <c r="W105" s="10" t="s">
        <v>31</v>
      </c>
      <c r="X105" s="10" t="s">
        <v>31</v>
      </c>
    </row>
    <row r="106" customFormat="false" ht="15" hidden="false" customHeight="true" outlineLevel="0" collapsed="false">
      <c r="A106" s="3" t="s">
        <v>407</v>
      </c>
      <c r="B106" s="3" t="s">
        <v>404</v>
      </c>
      <c r="C106" s="3" t="s">
        <v>405</v>
      </c>
      <c r="D106" s="4" t="s">
        <v>408</v>
      </c>
      <c r="E106" s="4" t="s">
        <v>406</v>
      </c>
      <c r="F106" s="4" t="s">
        <v>29</v>
      </c>
      <c r="G106" s="5"/>
      <c r="H106" s="6"/>
      <c r="I106" s="6"/>
      <c r="J106" s="4" t="n">
        <v>0</v>
      </c>
      <c r="K106" s="7" t="n">
        <v>33000</v>
      </c>
      <c r="L106" s="8" t="n">
        <v>0</v>
      </c>
      <c r="M106" s="7" t="n">
        <v>33000</v>
      </c>
      <c r="N106" s="7"/>
      <c r="O106" s="9" t="str">
        <f aca="false">IF(AND(N(G106)&gt;0,N(M106)&gt;0),G106/M106,"")</f>
        <v/>
      </c>
      <c r="P106" s="7" t="n">
        <v>33000</v>
      </c>
      <c r="Q106" s="7" t="n">
        <v>33000</v>
      </c>
      <c r="R106" s="4" t="s">
        <v>65</v>
      </c>
      <c r="S106" s="7"/>
      <c r="T106" s="7"/>
      <c r="U106" s="7"/>
      <c r="V106" s="7"/>
      <c r="W106" s="10" t="s">
        <v>31</v>
      </c>
      <c r="X106" s="10" t="s">
        <v>31</v>
      </c>
    </row>
    <row r="107" customFormat="false" ht="15" hidden="false" customHeight="true" outlineLevel="0" collapsed="false">
      <c r="A107" s="3" t="s">
        <v>409</v>
      </c>
      <c r="B107" s="3" t="s">
        <v>404</v>
      </c>
      <c r="C107" s="3" t="s">
        <v>405</v>
      </c>
      <c r="D107" s="4" t="s">
        <v>410</v>
      </c>
      <c r="E107" s="4" t="s">
        <v>406</v>
      </c>
      <c r="F107" s="4" t="s">
        <v>29</v>
      </c>
      <c r="G107" s="5"/>
      <c r="H107" s="6"/>
      <c r="I107" s="6"/>
      <c r="J107" s="4" t="n">
        <v>0</v>
      </c>
      <c r="K107" s="7" t="n">
        <v>33000</v>
      </c>
      <c r="L107" s="8" t="n">
        <v>0</v>
      </c>
      <c r="M107" s="7" t="n">
        <v>33000</v>
      </c>
      <c r="N107" s="7"/>
      <c r="O107" s="9" t="str">
        <f aca="false">IF(AND(N(G107)&gt;0,N(M107)&gt;0),G107/M107,"")</f>
        <v/>
      </c>
      <c r="P107" s="7" t="n">
        <v>33000</v>
      </c>
      <c r="Q107" s="7" t="n">
        <v>33000</v>
      </c>
      <c r="R107" s="4" t="s">
        <v>65</v>
      </c>
      <c r="S107" s="7"/>
      <c r="T107" s="7"/>
      <c r="U107" s="7"/>
      <c r="V107" s="7"/>
      <c r="W107" s="10" t="s">
        <v>31</v>
      </c>
      <c r="X107" s="10" t="s">
        <v>31</v>
      </c>
    </row>
    <row r="108" customFormat="false" ht="15" hidden="false" customHeight="true" outlineLevel="0" collapsed="false">
      <c r="A108" s="3" t="s">
        <v>411</v>
      </c>
      <c r="B108" s="3" t="s">
        <v>412</v>
      </c>
      <c r="C108" s="3" t="s">
        <v>413</v>
      </c>
      <c r="D108" s="4" t="s">
        <v>49</v>
      </c>
      <c r="E108" s="4" t="s">
        <v>414</v>
      </c>
      <c r="F108" s="4" t="s">
        <v>29</v>
      </c>
      <c r="G108" s="5"/>
      <c r="H108" s="6"/>
      <c r="I108" s="6"/>
      <c r="J108" s="4" t="n">
        <v>0</v>
      </c>
      <c r="K108" s="7" t="n">
        <v>5000</v>
      </c>
      <c r="L108" s="8" t="n">
        <v>0</v>
      </c>
      <c r="M108" s="7" t="n">
        <v>5000</v>
      </c>
      <c r="N108" s="7"/>
      <c r="O108" s="9" t="str">
        <f aca="false">IF(AND(N(G108)&gt;0,N(M108)&gt;0),G108/M108,"")</f>
        <v/>
      </c>
      <c r="P108" s="7" t="n">
        <v>5000</v>
      </c>
      <c r="Q108" s="7" t="n">
        <v>5000</v>
      </c>
      <c r="R108" s="4" t="s">
        <v>65</v>
      </c>
      <c r="S108" s="7"/>
      <c r="T108" s="7"/>
      <c r="U108" s="7"/>
      <c r="V108" s="7"/>
      <c r="W108" s="10" t="s">
        <v>31</v>
      </c>
      <c r="X108" s="10" t="s">
        <v>31</v>
      </c>
    </row>
    <row r="109" customFormat="false" ht="15" hidden="false" customHeight="true" outlineLevel="0" collapsed="false">
      <c r="A109" s="3" t="s">
        <v>415</v>
      </c>
      <c r="B109" s="3" t="s">
        <v>416</v>
      </c>
      <c r="C109" s="3" t="s">
        <v>417</v>
      </c>
      <c r="D109" s="4" t="s">
        <v>49</v>
      </c>
      <c r="E109" s="4" t="s">
        <v>414</v>
      </c>
      <c r="F109" s="4" t="s">
        <v>29</v>
      </c>
      <c r="G109" s="5"/>
      <c r="H109" s="6"/>
      <c r="I109" s="6"/>
      <c r="J109" s="4" t="n">
        <v>0</v>
      </c>
      <c r="K109" s="7" t="n">
        <v>9900</v>
      </c>
      <c r="L109" s="8" t="n">
        <v>0</v>
      </c>
      <c r="M109" s="7" t="n">
        <v>9900</v>
      </c>
      <c r="N109" s="7"/>
      <c r="O109" s="9" t="str">
        <f aca="false">IF(AND(N(G109)&gt;0,N(M109)&gt;0),G109/M109,"")</f>
        <v/>
      </c>
      <c r="P109" s="7" t="n">
        <v>9900</v>
      </c>
      <c r="Q109" s="7" t="n">
        <v>9900</v>
      </c>
      <c r="R109" s="4" t="s">
        <v>65</v>
      </c>
      <c r="S109" s="7"/>
      <c r="T109" s="7"/>
      <c r="U109" s="7"/>
      <c r="V109" s="7"/>
      <c r="W109" s="10" t="s">
        <v>31</v>
      </c>
      <c r="X109" s="10" t="s">
        <v>31</v>
      </c>
    </row>
    <row r="110" customFormat="false" ht="15" hidden="false" customHeight="true" outlineLevel="0" collapsed="false">
      <c r="A110" s="3" t="s">
        <v>418</v>
      </c>
      <c r="B110" s="3" t="s">
        <v>419</v>
      </c>
      <c r="C110" s="3" t="s">
        <v>420</v>
      </c>
      <c r="D110" s="4" t="s">
        <v>49</v>
      </c>
      <c r="E110" s="4" t="s">
        <v>414</v>
      </c>
      <c r="F110" s="4" t="s">
        <v>29</v>
      </c>
      <c r="G110" s="5"/>
      <c r="H110" s="6"/>
      <c r="I110" s="6"/>
      <c r="J110" s="4" t="n">
        <v>0</v>
      </c>
      <c r="K110" s="7" t="n">
        <v>10500</v>
      </c>
      <c r="L110" s="8" t="n">
        <v>0</v>
      </c>
      <c r="M110" s="7" t="n">
        <v>10500</v>
      </c>
      <c r="N110" s="7"/>
      <c r="O110" s="9" t="str">
        <f aca="false">IF(AND(N(G110)&gt;0,N(M110)&gt;0),G110/M110,"")</f>
        <v/>
      </c>
      <c r="P110" s="7" t="n">
        <v>10500</v>
      </c>
      <c r="Q110" s="7" t="n">
        <v>10500</v>
      </c>
      <c r="R110" s="4" t="s">
        <v>65</v>
      </c>
      <c r="S110" s="7"/>
      <c r="T110" s="7"/>
      <c r="U110" s="7"/>
      <c r="V110" s="7"/>
      <c r="W110" s="10" t="s">
        <v>31</v>
      </c>
      <c r="X110" s="10" t="s">
        <v>31</v>
      </c>
    </row>
    <row r="111" customFormat="false" ht="15" hidden="false" customHeight="true" outlineLevel="0" collapsed="false">
      <c r="A111" s="3" t="s">
        <v>421</v>
      </c>
      <c r="B111" s="3" t="s">
        <v>422</v>
      </c>
      <c r="C111" s="3" t="s">
        <v>423</v>
      </c>
      <c r="D111" s="4" t="s">
        <v>62</v>
      </c>
      <c r="E111" s="4" t="s">
        <v>414</v>
      </c>
      <c r="F111" s="4" t="s">
        <v>29</v>
      </c>
      <c r="G111" s="5"/>
      <c r="H111" s="6"/>
      <c r="I111" s="6"/>
      <c r="J111" s="4" t="n">
        <v>0</v>
      </c>
      <c r="K111" s="7" t="n">
        <v>13500</v>
      </c>
      <c r="L111" s="8" t="n">
        <v>0</v>
      </c>
      <c r="M111" s="7" t="n">
        <v>13500</v>
      </c>
      <c r="N111" s="7"/>
      <c r="O111" s="9" t="str">
        <f aca="false">IF(AND(N(G111)&gt;0,N(M111)&gt;0),G111/M111,"")</f>
        <v/>
      </c>
      <c r="P111" s="7" t="n">
        <v>13500</v>
      </c>
      <c r="Q111" s="7" t="n">
        <v>13500</v>
      </c>
      <c r="R111" s="4" t="s">
        <v>65</v>
      </c>
      <c r="S111" s="7"/>
      <c r="T111" s="7"/>
      <c r="U111" s="7"/>
      <c r="V111" s="7"/>
      <c r="W111" s="10" t="s">
        <v>31</v>
      </c>
      <c r="X111" s="10" t="s">
        <v>31</v>
      </c>
    </row>
    <row r="112" customFormat="false" ht="15" hidden="false" customHeight="true" outlineLevel="0" collapsed="false">
      <c r="A112" s="3" t="s">
        <v>424</v>
      </c>
      <c r="B112" s="3" t="s">
        <v>425</v>
      </c>
      <c r="C112" s="3" t="s">
        <v>426</v>
      </c>
      <c r="D112" s="4" t="s">
        <v>62</v>
      </c>
      <c r="E112" s="4" t="s">
        <v>414</v>
      </c>
      <c r="F112" s="4" t="s">
        <v>29</v>
      </c>
      <c r="G112" s="5"/>
      <c r="H112" s="6"/>
      <c r="I112" s="6"/>
      <c r="J112" s="4" t="n">
        <v>0</v>
      </c>
      <c r="K112" s="7" t="n">
        <v>7800</v>
      </c>
      <c r="L112" s="8" t="n">
        <v>0</v>
      </c>
      <c r="M112" s="7" t="n">
        <v>7800</v>
      </c>
      <c r="N112" s="7"/>
      <c r="O112" s="9" t="str">
        <f aca="false">IF(AND(N(G112)&gt;0,N(M112)&gt;0),G112/M112,"")</f>
        <v/>
      </c>
      <c r="P112" s="7" t="n">
        <v>7800</v>
      </c>
      <c r="Q112" s="7" t="n">
        <v>7800</v>
      </c>
      <c r="R112" s="4" t="s">
        <v>65</v>
      </c>
      <c r="S112" s="7"/>
      <c r="T112" s="7"/>
      <c r="U112" s="7"/>
      <c r="V112" s="7"/>
      <c r="W112" s="10" t="s">
        <v>31</v>
      </c>
      <c r="X112" s="10" t="s">
        <v>31</v>
      </c>
    </row>
    <row r="113" customFormat="false" ht="15" hidden="false" customHeight="true" outlineLevel="0" collapsed="false">
      <c r="A113" s="3" t="s">
        <v>427</v>
      </c>
      <c r="B113" s="3" t="s">
        <v>428</v>
      </c>
      <c r="C113" s="3" t="s">
        <v>429</v>
      </c>
      <c r="D113" s="4" t="s">
        <v>62</v>
      </c>
      <c r="E113" s="4" t="s">
        <v>414</v>
      </c>
      <c r="F113" s="4" t="s">
        <v>29</v>
      </c>
      <c r="G113" s="5"/>
      <c r="H113" s="6"/>
      <c r="I113" s="6"/>
      <c r="J113" s="4" t="n">
        <v>0</v>
      </c>
      <c r="K113" s="7" t="n">
        <v>4000</v>
      </c>
      <c r="L113" s="8" t="n">
        <v>0</v>
      </c>
      <c r="M113" s="7" t="n">
        <v>4000</v>
      </c>
      <c r="N113" s="7"/>
      <c r="O113" s="9" t="str">
        <f aca="false">IF(AND(N(G113)&gt;0,N(M113)&gt;0),G113/M113,"")</f>
        <v/>
      </c>
      <c r="P113" s="7" t="n">
        <v>4000</v>
      </c>
      <c r="Q113" s="7" t="n">
        <v>4000</v>
      </c>
      <c r="R113" s="4" t="s">
        <v>65</v>
      </c>
      <c r="S113" s="7"/>
      <c r="T113" s="7"/>
      <c r="U113" s="7"/>
      <c r="V113" s="7"/>
      <c r="W113" s="10" t="s">
        <v>31</v>
      </c>
      <c r="X113" s="10" t="s">
        <v>31</v>
      </c>
    </row>
    <row r="114" customFormat="false" ht="15" hidden="false" customHeight="true" outlineLevel="0" collapsed="false">
      <c r="A114" s="3" t="s">
        <v>430</v>
      </c>
      <c r="B114" s="3" t="s">
        <v>431</v>
      </c>
      <c r="C114" s="3" t="s">
        <v>432</v>
      </c>
      <c r="D114" s="4" t="s">
        <v>27</v>
      </c>
      <c r="E114" s="4" t="s">
        <v>414</v>
      </c>
      <c r="F114" s="4" t="s">
        <v>29</v>
      </c>
      <c r="G114" s="5"/>
      <c r="H114" s="6"/>
      <c r="I114" s="6"/>
      <c r="J114" s="4" t="n">
        <v>0</v>
      </c>
      <c r="K114" s="7" t="n">
        <v>14500</v>
      </c>
      <c r="L114" s="8" t="n">
        <v>0</v>
      </c>
      <c r="M114" s="7" t="n">
        <v>14500</v>
      </c>
      <c r="N114" s="7"/>
      <c r="O114" s="9" t="str">
        <f aca="false">IF(AND(N(G114)&gt;0,N(M114)&gt;0),G114/M114,"")</f>
        <v/>
      </c>
      <c r="P114" s="7" t="n">
        <v>14500</v>
      </c>
      <c r="Q114" s="7" t="n">
        <v>14500</v>
      </c>
      <c r="R114" s="4" t="s">
        <v>65</v>
      </c>
      <c r="S114" s="7"/>
      <c r="T114" s="7"/>
      <c r="U114" s="7"/>
      <c r="V114" s="7"/>
      <c r="W114" s="10" t="s">
        <v>31</v>
      </c>
      <c r="X114" s="10" t="s">
        <v>31</v>
      </c>
    </row>
    <row r="115" customFormat="false" ht="15" hidden="false" customHeight="true" outlineLevel="0" collapsed="false">
      <c r="A115" s="3" t="s">
        <v>433</v>
      </c>
      <c r="B115" s="3" t="s">
        <v>434</v>
      </c>
      <c r="C115" s="3" t="s">
        <v>435</v>
      </c>
      <c r="D115" s="4" t="s">
        <v>27</v>
      </c>
      <c r="E115" s="4" t="s">
        <v>414</v>
      </c>
      <c r="F115" s="4" t="s">
        <v>29</v>
      </c>
      <c r="G115" s="5"/>
      <c r="H115" s="6"/>
      <c r="I115" s="6"/>
      <c r="J115" s="4" t="n">
        <v>0</v>
      </c>
      <c r="K115" s="7" t="n">
        <v>16000</v>
      </c>
      <c r="L115" s="8" t="n">
        <v>0</v>
      </c>
      <c r="M115" s="7" t="n">
        <v>16000</v>
      </c>
      <c r="N115" s="7"/>
      <c r="O115" s="9" t="str">
        <f aca="false">IF(AND(N(G115)&gt;0,N(M115)&gt;0),G115/M115,"")</f>
        <v/>
      </c>
      <c r="P115" s="7" t="n">
        <v>16000</v>
      </c>
      <c r="Q115" s="7" t="n">
        <v>16000</v>
      </c>
      <c r="R115" s="4" t="s">
        <v>65</v>
      </c>
      <c r="S115" s="7"/>
      <c r="T115" s="7"/>
      <c r="U115" s="7"/>
      <c r="V115" s="7"/>
      <c r="W115" s="10" t="s">
        <v>31</v>
      </c>
      <c r="X115" s="10" t="s">
        <v>31</v>
      </c>
    </row>
    <row r="116" customFormat="false" ht="15" hidden="false" customHeight="true" outlineLevel="0" collapsed="false">
      <c r="A116" s="3" t="s">
        <v>436</v>
      </c>
      <c r="B116" s="3" t="s">
        <v>428</v>
      </c>
      <c r="C116" s="3" t="s">
        <v>429</v>
      </c>
      <c r="D116" s="4" t="s">
        <v>27</v>
      </c>
      <c r="E116" s="4" t="s">
        <v>414</v>
      </c>
      <c r="F116" s="4" t="s">
        <v>29</v>
      </c>
      <c r="G116" s="5"/>
      <c r="H116" s="6"/>
      <c r="I116" s="6"/>
      <c r="J116" s="4" t="n">
        <v>0</v>
      </c>
      <c r="K116" s="7" t="n">
        <v>4000</v>
      </c>
      <c r="L116" s="8" t="n">
        <v>0</v>
      </c>
      <c r="M116" s="7" t="n">
        <v>4000</v>
      </c>
      <c r="N116" s="7"/>
      <c r="O116" s="9" t="str">
        <f aca="false">IF(AND(N(G116)&gt;0,N(M116)&gt;0),G116/M116,"")</f>
        <v/>
      </c>
      <c r="P116" s="7" t="n">
        <v>4000</v>
      </c>
      <c r="Q116" s="7" t="n">
        <v>4000</v>
      </c>
      <c r="R116" s="4" t="s">
        <v>65</v>
      </c>
      <c r="S116" s="7"/>
      <c r="T116" s="7"/>
      <c r="U116" s="7"/>
      <c r="V116" s="7"/>
      <c r="W116" s="10" t="s">
        <v>31</v>
      </c>
      <c r="X116" s="10" t="s">
        <v>31</v>
      </c>
    </row>
    <row r="117" customFormat="false" ht="15" hidden="false" customHeight="true" outlineLevel="0" collapsed="false">
      <c r="A117" s="3" t="s">
        <v>437</v>
      </c>
      <c r="B117" s="3" t="s">
        <v>438</v>
      </c>
      <c r="C117" s="3" t="s">
        <v>439</v>
      </c>
      <c r="D117" s="4" t="s">
        <v>27</v>
      </c>
      <c r="E117" s="4" t="s">
        <v>440</v>
      </c>
      <c r="F117" s="4" t="s">
        <v>29</v>
      </c>
      <c r="G117" s="5"/>
      <c r="H117" s="6"/>
      <c r="I117" s="6"/>
      <c r="J117" s="4" t="n">
        <v>0</v>
      </c>
      <c r="K117" s="7" t="n">
        <v>8800</v>
      </c>
      <c r="L117" s="8" t="n">
        <v>0</v>
      </c>
      <c r="M117" s="7" t="n">
        <v>8800</v>
      </c>
      <c r="N117" s="7"/>
      <c r="O117" s="9" t="str">
        <f aca="false">IF(AND(N(G117)&gt;0,N(M117)&gt;0),G117/M117,"")</f>
        <v/>
      </c>
      <c r="P117" s="7" t="n">
        <v>8800</v>
      </c>
      <c r="Q117" s="7" t="n">
        <v>8800</v>
      </c>
      <c r="R117" s="4" t="s">
        <v>65</v>
      </c>
      <c r="S117" s="7"/>
      <c r="T117" s="7"/>
      <c r="U117" s="7"/>
      <c r="V117" s="7"/>
      <c r="W117" s="10" t="s">
        <v>31</v>
      </c>
      <c r="X117" s="10" t="s">
        <v>31</v>
      </c>
    </row>
    <row r="118" customFormat="false" ht="15" hidden="false" customHeight="true" outlineLevel="0" collapsed="false">
      <c r="A118" s="3" t="s">
        <v>441</v>
      </c>
      <c r="B118" s="3" t="s">
        <v>442</v>
      </c>
      <c r="C118" s="3" t="s">
        <v>443</v>
      </c>
      <c r="D118" s="4" t="s">
        <v>49</v>
      </c>
      <c r="E118" s="4" t="s">
        <v>444</v>
      </c>
      <c r="F118" s="4" t="s">
        <v>29</v>
      </c>
      <c r="G118" s="5"/>
      <c r="H118" s="6"/>
      <c r="I118" s="6"/>
      <c r="J118" s="4" t="n">
        <v>0</v>
      </c>
      <c r="K118" s="7" t="n">
        <v>5250</v>
      </c>
      <c r="L118" s="8" t="n">
        <v>0</v>
      </c>
      <c r="M118" s="7" t="n">
        <v>5250</v>
      </c>
      <c r="N118" s="7"/>
      <c r="O118" s="9" t="str">
        <f aca="false">IF(AND(N(G118)&gt;0,N(M118)&gt;0),G118/M118,"")</f>
        <v/>
      </c>
      <c r="P118" s="7" t="n">
        <v>5250</v>
      </c>
      <c r="Q118" s="7" t="n">
        <v>5250</v>
      </c>
      <c r="R118" s="4" t="s">
        <v>65</v>
      </c>
      <c r="S118" s="7"/>
      <c r="T118" s="7"/>
      <c r="U118" s="7"/>
      <c r="V118" s="7"/>
      <c r="W118" s="10" t="s">
        <v>31</v>
      </c>
      <c r="X118" s="10" t="s">
        <v>31</v>
      </c>
    </row>
    <row r="119" customFormat="false" ht="15" hidden="false" customHeight="true" outlineLevel="0" collapsed="false">
      <c r="A119" s="3" t="s">
        <v>445</v>
      </c>
      <c r="B119" s="3" t="s">
        <v>446</v>
      </c>
      <c r="C119" s="3" t="s">
        <v>447</v>
      </c>
      <c r="D119" s="4" t="s">
        <v>49</v>
      </c>
      <c r="E119" s="4" t="s">
        <v>448</v>
      </c>
      <c r="F119" s="4" t="s">
        <v>29</v>
      </c>
      <c r="G119" s="5"/>
      <c r="H119" s="6"/>
      <c r="I119" s="6"/>
      <c r="J119" s="4" t="n">
        <v>0</v>
      </c>
      <c r="K119" s="7" t="n">
        <v>18500</v>
      </c>
      <c r="L119" s="8" t="n">
        <v>0</v>
      </c>
      <c r="M119" s="7" t="n">
        <v>18500</v>
      </c>
      <c r="N119" s="7"/>
      <c r="O119" s="9" t="str">
        <f aca="false">IF(AND(N(G119)&gt;0,N(M119)&gt;0),G119/M119,"")</f>
        <v/>
      </c>
      <c r="P119" s="7" t="n">
        <v>18500</v>
      </c>
      <c r="Q119" s="7" t="n">
        <v>18500</v>
      </c>
      <c r="R119" s="4" t="s">
        <v>65</v>
      </c>
      <c r="S119" s="7"/>
      <c r="T119" s="7"/>
      <c r="U119" s="7"/>
      <c r="V119" s="7"/>
      <c r="W119" s="10" t="s">
        <v>31</v>
      </c>
      <c r="X119" s="10" t="s">
        <v>31</v>
      </c>
    </row>
    <row r="120" customFormat="false" ht="15" hidden="false" customHeight="true" outlineLevel="0" collapsed="false">
      <c r="A120" s="3" t="s">
        <v>449</v>
      </c>
      <c r="B120" s="3" t="s">
        <v>446</v>
      </c>
      <c r="C120" s="3" t="s">
        <v>447</v>
      </c>
      <c r="D120" s="4" t="s">
        <v>408</v>
      </c>
      <c r="E120" s="4" t="s">
        <v>448</v>
      </c>
      <c r="F120" s="4" t="s">
        <v>29</v>
      </c>
      <c r="G120" s="5"/>
      <c r="H120" s="6"/>
      <c r="I120" s="6"/>
      <c r="J120" s="4" t="n">
        <v>0</v>
      </c>
      <c r="K120" s="7" t="n">
        <v>18500</v>
      </c>
      <c r="L120" s="8" t="n">
        <v>0</v>
      </c>
      <c r="M120" s="7" t="n">
        <v>18500</v>
      </c>
      <c r="N120" s="7"/>
      <c r="O120" s="9" t="str">
        <f aca="false">IF(AND(N(G120)&gt;0,N(M120)&gt;0),G120/M120,"")</f>
        <v/>
      </c>
      <c r="P120" s="7" t="n">
        <v>18500</v>
      </c>
      <c r="Q120" s="7" t="n">
        <v>18500</v>
      </c>
      <c r="R120" s="4" t="s">
        <v>65</v>
      </c>
      <c r="S120" s="7"/>
      <c r="T120" s="7"/>
      <c r="U120" s="7"/>
      <c r="V120" s="7"/>
      <c r="W120" s="10" t="s">
        <v>31</v>
      </c>
      <c r="X120" s="10" t="s">
        <v>31</v>
      </c>
    </row>
    <row r="121" customFormat="false" ht="15" hidden="false" customHeight="true" outlineLevel="0" collapsed="false">
      <c r="A121" s="3" t="s">
        <v>450</v>
      </c>
      <c r="B121" s="3" t="s">
        <v>451</v>
      </c>
      <c r="C121" s="3" t="s">
        <v>452</v>
      </c>
      <c r="D121" s="4" t="s">
        <v>49</v>
      </c>
      <c r="E121" s="4" t="s">
        <v>453</v>
      </c>
      <c r="F121" s="4" t="s">
        <v>29</v>
      </c>
      <c r="G121" s="5"/>
      <c r="H121" s="6"/>
      <c r="I121" s="6"/>
      <c r="J121" s="4" t="n">
        <v>0</v>
      </c>
      <c r="K121" s="7" t="n">
        <v>4999</v>
      </c>
      <c r="L121" s="8" t="n">
        <v>0</v>
      </c>
      <c r="M121" s="7" t="n">
        <v>4999</v>
      </c>
      <c r="N121" s="7"/>
      <c r="O121" s="9" t="str">
        <f aca="false">IF(AND(N(G121)&gt;0,N(M121)&gt;0),G121/M121,"")</f>
        <v/>
      </c>
      <c r="P121" s="7" t="n">
        <v>4999</v>
      </c>
      <c r="Q121" s="7" t="n">
        <v>4999</v>
      </c>
      <c r="R121" s="4" t="s">
        <v>65</v>
      </c>
      <c r="S121" s="7"/>
      <c r="T121" s="7"/>
      <c r="U121" s="7"/>
      <c r="V121" s="7"/>
      <c r="W121" s="10" t="s">
        <v>31</v>
      </c>
      <c r="X121" s="10" t="s">
        <v>31</v>
      </c>
    </row>
    <row r="122" customFormat="false" ht="15" hidden="false" customHeight="true" outlineLevel="0" collapsed="false">
      <c r="A122" s="3" t="s">
        <v>454</v>
      </c>
      <c r="B122" s="3" t="s">
        <v>455</v>
      </c>
      <c r="C122" s="3" t="s">
        <v>456</v>
      </c>
      <c r="D122" s="4" t="s">
        <v>49</v>
      </c>
      <c r="E122" s="4" t="s">
        <v>457</v>
      </c>
      <c r="F122" s="4" t="s">
        <v>29</v>
      </c>
      <c r="G122" s="5"/>
      <c r="H122" s="6"/>
      <c r="I122" s="6"/>
      <c r="J122" s="4" t="n">
        <v>0</v>
      </c>
      <c r="K122" s="7" t="n">
        <v>21000</v>
      </c>
      <c r="L122" s="8" t="n">
        <v>0</v>
      </c>
      <c r="M122" s="7" t="n">
        <v>21000</v>
      </c>
      <c r="N122" s="7"/>
      <c r="O122" s="9" t="str">
        <f aca="false">IF(AND(N(G122)&gt;0,N(M122)&gt;0),G122/M122,"")</f>
        <v/>
      </c>
      <c r="P122" s="7" t="n">
        <v>21000</v>
      </c>
      <c r="Q122" s="7" t="n">
        <v>21000</v>
      </c>
      <c r="R122" s="4" t="s">
        <v>65</v>
      </c>
      <c r="S122" s="7"/>
      <c r="T122" s="7"/>
      <c r="U122" s="7"/>
      <c r="V122" s="7"/>
      <c r="W122" s="10" t="s">
        <v>31</v>
      </c>
      <c r="X122" s="10" t="s">
        <v>31</v>
      </c>
    </row>
    <row r="123" customFormat="false" ht="15" hidden="false" customHeight="true" outlineLevel="0" collapsed="false">
      <c r="A123" s="3" t="s">
        <v>458</v>
      </c>
      <c r="B123" s="3" t="s">
        <v>459</v>
      </c>
      <c r="C123" s="3" t="s">
        <v>460</v>
      </c>
      <c r="D123" s="4" t="s">
        <v>49</v>
      </c>
      <c r="E123" s="4" t="s">
        <v>461</v>
      </c>
      <c r="F123" s="4" t="s">
        <v>29</v>
      </c>
      <c r="G123" s="11" t="n">
        <v>2500</v>
      </c>
      <c r="H123" s="12" t="s">
        <v>36</v>
      </c>
      <c r="I123" s="12" t="s">
        <v>37</v>
      </c>
      <c r="J123" s="4" t="n">
        <v>0</v>
      </c>
      <c r="K123" s="7" t="n">
        <v>10000</v>
      </c>
      <c r="L123" s="8" t="n">
        <v>0</v>
      </c>
      <c r="M123" s="7" t="n">
        <v>10000</v>
      </c>
      <c r="N123" s="7"/>
      <c r="O123" s="9" t="n">
        <f aca="false">IF(AND(N(G123)&gt;0,N(M123)&gt;0),G123/M123,"")</f>
        <v>0.25</v>
      </c>
      <c r="P123" s="7" t="n">
        <v>10000</v>
      </c>
      <c r="Q123" s="7" t="n">
        <v>10000</v>
      </c>
      <c r="R123" s="4" t="s">
        <v>65</v>
      </c>
      <c r="S123" s="7"/>
      <c r="T123" s="7"/>
      <c r="U123" s="7"/>
      <c r="V123" s="7"/>
      <c r="W123" s="10" t="s">
        <v>31</v>
      </c>
      <c r="X123" s="10" t="s">
        <v>31</v>
      </c>
    </row>
    <row r="124" customFormat="false" ht="15" hidden="false" customHeight="true" outlineLevel="0" collapsed="false">
      <c r="A124" s="3" t="s">
        <v>462</v>
      </c>
      <c r="B124" s="3" t="s">
        <v>463</v>
      </c>
      <c r="C124" s="3" t="s">
        <v>464</v>
      </c>
      <c r="D124" s="4" t="s">
        <v>49</v>
      </c>
      <c r="E124" s="4" t="s">
        <v>461</v>
      </c>
      <c r="F124" s="4" t="s">
        <v>29</v>
      </c>
      <c r="G124" s="5"/>
      <c r="H124" s="6"/>
      <c r="I124" s="6"/>
      <c r="J124" s="4" t="n">
        <v>0</v>
      </c>
      <c r="K124" s="7" t="n">
        <v>7500</v>
      </c>
      <c r="L124" s="8" t="n">
        <v>0</v>
      </c>
      <c r="M124" s="7" t="n">
        <v>7500</v>
      </c>
      <c r="N124" s="7"/>
      <c r="O124" s="9" t="str">
        <f aca="false">IF(AND(N(G124)&gt;0,N(M124)&gt;0),G124/M124,"")</f>
        <v/>
      </c>
      <c r="P124" s="7" t="n">
        <v>7500</v>
      </c>
      <c r="Q124" s="7" t="n">
        <v>7500</v>
      </c>
      <c r="R124" s="4" t="s">
        <v>65</v>
      </c>
      <c r="S124" s="7"/>
      <c r="T124" s="7"/>
      <c r="U124" s="7"/>
      <c r="V124" s="7"/>
      <c r="W124" s="10" t="s">
        <v>31</v>
      </c>
      <c r="X124" s="10" t="s">
        <v>31</v>
      </c>
    </row>
    <row r="125" customFormat="false" ht="15" hidden="false" customHeight="true" outlineLevel="0" collapsed="false">
      <c r="A125" s="3" t="s">
        <v>465</v>
      </c>
      <c r="B125" s="3" t="s">
        <v>466</v>
      </c>
      <c r="C125" s="3" t="s">
        <v>467</v>
      </c>
      <c r="D125" s="4" t="s">
        <v>49</v>
      </c>
      <c r="E125" s="4" t="s">
        <v>461</v>
      </c>
      <c r="F125" s="4" t="s">
        <v>29</v>
      </c>
      <c r="G125" s="5"/>
      <c r="H125" s="6"/>
      <c r="I125" s="6"/>
      <c r="J125" s="4" t="n">
        <v>0</v>
      </c>
      <c r="K125" s="7" t="n">
        <v>4800</v>
      </c>
      <c r="L125" s="8" t="n">
        <v>0</v>
      </c>
      <c r="M125" s="7" t="n">
        <v>4800</v>
      </c>
      <c r="N125" s="7"/>
      <c r="O125" s="9" t="str">
        <f aca="false">IF(AND(N(G125)&gt;0,N(M125)&gt;0),G125/M125,"")</f>
        <v/>
      </c>
      <c r="P125" s="7" t="n">
        <v>4800</v>
      </c>
      <c r="Q125" s="7" t="n">
        <v>4800</v>
      </c>
      <c r="R125" s="4" t="s">
        <v>65</v>
      </c>
      <c r="S125" s="7"/>
      <c r="T125" s="7"/>
      <c r="U125" s="7"/>
      <c r="V125" s="7"/>
      <c r="W125" s="10" t="s">
        <v>31</v>
      </c>
      <c r="X125" s="10" t="s">
        <v>31</v>
      </c>
    </row>
    <row r="126" customFormat="false" ht="15" hidden="false" customHeight="true" outlineLevel="0" collapsed="false">
      <c r="A126" s="3" t="s">
        <v>468</v>
      </c>
      <c r="B126" s="3" t="s">
        <v>469</v>
      </c>
      <c r="C126" s="3" t="s">
        <v>470</v>
      </c>
      <c r="D126" s="4" t="s">
        <v>62</v>
      </c>
      <c r="E126" s="4" t="s">
        <v>461</v>
      </c>
      <c r="F126" s="4" t="s">
        <v>29</v>
      </c>
      <c r="G126" s="5"/>
      <c r="H126" s="6"/>
      <c r="I126" s="6"/>
      <c r="J126" s="4" t="n">
        <v>0</v>
      </c>
      <c r="K126" s="7" t="n">
        <v>8500</v>
      </c>
      <c r="L126" s="8" t="n">
        <v>0</v>
      </c>
      <c r="M126" s="7" t="n">
        <v>8500</v>
      </c>
      <c r="N126" s="7"/>
      <c r="O126" s="9" t="str">
        <f aca="false">IF(AND(N(G126)&gt;0,N(M126)&gt;0),G126/M126,"")</f>
        <v/>
      </c>
      <c r="P126" s="7" t="n">
        <v>8500</v>
      </c>
      <c r="Q126" s="7" t="n">
        <v>8500</v>
      </c>
      <c r="R126" s="4" t="s">
        <v>65</v>
      </c>
      <c r="S126" s="7"/>
      <c r="T126" s="7"/>
      <c r="U126" s="7"/>
      <c r="V126" s="7"/>
      <c r="W126" s="10" t="s">
        <v>31</v>
      </c>
      <c r="X126" s="10" t="s">
        <v>31</v>
      </c>
    </row>
    <row r="127" customFormat="false" ht="15" hidden="false" customHeight="true" outlineLevel="0" collapsed="false">
      <c r="A127" s="3" t="s">
        <v>471</v>
      </c>
      <c r="B127" s="3" t="s">
        <v>472</v>
      </c>
      <c r="C127" s="3" t="s">
        <v>473</v>
      </c>
      <c r="D127" s="4" t="s">
        <v>370</v>
      </c>
      <c r="E127" s="4" t="s">
        <v>461</v>
      </c>
      <c r="F127" s="4" t="s">
        <v>29</v>
      </c>
      <c r="G127" s="5"/>
      <c r="H127" s="6"/>
      <c r="I127" s="6"/>
      <c r="J127" s="4" t="n">
        <v>0</v>
      </c>
      <c r="K127" s="7" t="n">
        <v>11000</v>
      </c>
      <c r="L127" s="8" t="n">
        <v>0</v>
      </c>
      <c r="M127" s="7" t="n">
        <v>11000</v>
      </c>
      <c r="N127" s="7"/>
      <c r="O127" s="9" t="str">
        <f aca="false">IF(AND(N(G127)&gt;0,N(M127)&gt;0),G127/M127,"")</f>
        <v/>
      </c>
      <c r="P127" s="7" t="n">
        <v>11000</v>
      </c>
      <c r="Q127" s="7" t="n">
        <v>11000</v>
      </c>
      <c r="R127" s="4" t="s">
        <v>65</v>
      </c>
      <c r="S127" s="7"/>
      <c r="T127" s="7"/>
      <c r="U127" s="7"/>
      <c r="V127" s="7"/>
      <c r="W127" s="10" t="s">
        <v>31</v>
      </c>
      <c r="X127" s="10" t="s">
        <v>31</v>
      </c>
    </row>
    <row r="128" customFormat="false" ht="15" hidden="false" customHeight="true" outlineLevel="0" collapsed="false">
      <c r="A128" s="3" t="s">
        <v>474</v>
      </c>
      <c r="B128" s="3" t="s">
        <v>466</v>
      </c>
      <c r="C128" s="3" t="s">
        <v>467</v>
      </c>
      <c r="D128" s="4" t="s">
        <v>370</v>
      </c>
      <c r="E128" s="4" t="s">
        <v>461</v>
      </c>
      <c r="F128" s="4" t="s">
        <v>29</v>
      </c>
      <c r="G128" s="5"/>
      <c r="H128" s="6"/>
      <c r="I128" s="6"/>
      <c r="J128" s="4" t="n">
        <v>0</v>
      </c>
      <c r="K128" s="7" t="n">
        <v>4800</v>
      </c>
      <c r="L128" s="8" t="n">
        <v>0</v>
      </c>
      <c r="M128" s="7" t="n">
        <v>4800</v>
      </c>
      <c r="N128" s="7"/>
      <c r="O128" s="9" t="str">
        <f aca="false">IF(AND(N(G128)&gt;0,N(M128)&gt;0),G128/M128,"")</f>
        <v/>
      </c>
      <c r="P128" s="7" t="n">
        <v>4800</v>
      </c>
      <c r="Q128" s="7" t="n">
        <v>4800</v>
      </c>
      <c r="R128" s="4" t="s">
        <v>65</v>
      </c>
      <c r="S128" s="7"/>
      <c r="T128" s="7"/>
      <c r="U128" s="7"/>
      <c r="V128" s="7"/>
      <c r="W128" s="10" t="s">
        <v>31</v>
      </c>
      <c r="X128" s="10" t="s">
        <v>31</v>
      </c>
    </row>
    <row r="129" customFormat="false" ht="15" hidden="false" customHeight="true" outlineLevel="0" collapsed="false">
      <c r="A129" s="3" t="s">
        <v>475</v>
      </c>
      <c r="B129" s="3" t="s">
        <v>476</v>
      </c>
      <c r="C129" s="3" t="s">
        <v>477</v>
      </c>
      <c r="D129" s="4" t="s">
        <v>27</v>
      </c>
      <c r="E129" s="4" t="s">
        <v>461</v>
      </c>
      <c r="F129" s="4" t="s">
        <v>29</v>
      </c>
      <c r="G129" s="5"/>
      <c r="H129" s="6"/>
      <c r="I129" s="6"/>
      <c r="J129" s="4" t="n">
        <v>0</v>
      </c>
      <c r="K129" s="7" t="n">
        <v>14500</v>
      </c>
      <c r="L129" s="8" t="n">
        <v>0</v>
      </c>
      <c r="M129" s="7" t="n">
        <v>14500</v>
      </c>
      <c r="N129" s="7"/>
      <c r="O129" s="9" t="str">
        <f aca="false">IF(AND(N(G129)&gt;0,N(M129)&gt;0),G129/M129,"")</f>
        <v/>
      </c>
      <c r="P129" s="7" t="n">
        <v>14500</v>
      </c>
      <c r="Q129" s="7" t="n">
        <v>14500</v>
      </c>
      <c r="R129" s="4" t="s">
        <v>65</v>
      </c>
      <c r="S129" s="7"/>
      <c r="T129" s="7"/>
      <c r="U129" s="7"/>
      <c r="V129" s="7"/>
      <c r="W129" s="10" t="s">
        <v>31</v>
      </c>
      <c r="X129" s="10" t="s">
        <v>31</v>
      </c>
    </row>
    <row r="130" customFormat="false" ht="15" hidden="false" customHeight="true" outlineLevel="0" collapsed="false">
      <c r="A130" s="3" t="s">
        <v>478</v>
      </c>
      <c r="B130" s="3" t="s">
        <v>479</v>
      </c>
      <c r="C130" s="3" t="s">
        <v>480</v>
      </c>
      <c r="D130" s="4" t="s">
        <v>49</v>
      </c>
      <c r="E130" s="4" t="s">
        <v>481</v>
      </c>
      <c r="F130" s="4" t="s">
        <v>29</v>
      </c>
      <c r="G130" s="5"/>
      <c r="H130" s="6"/>
      <c r="I130" s="6"/>
      <c r="J130" s="4" t="n">
        <v>0</v>
      </c>
      <c r="K130" s="7" t="n">
        <v>8500</v>
      </c>
      <c r="L130" s="8" t="n">
        <v>0</v>
      </c>
      <c r="M130" s="7" t="n">
        <v>8500</v>
      </c>
      <c r="N130" s="7"/>
      <c r="O130" s="9" t="str">
        <f aca="false">IF(AND(N(G130)&gt;0,N(M130)&gt;0),G130/M130,"")</f>
        <v/>
      </c>
      <c r="P130" s="7" t="n">
        <v>8500</v>
      </c>
      <c r="Q130" s="7" t="n">
        <v>8500</v>
      </c>
      <c r="R130" s="4" t="s">
        <v>65</v>
      </c>
      <c r="S130" s="7"/>
      <c r="T130" s="7"/>
      <c r="U130" s="7"/>
      <c r="V130" s="7"/>
      <c r="W130" s="10" t="s">
        <v>31</v>
      </c>
      <c r="X130" s="10" t="s">
        <v>31</v>
      </c>
    </row>
    <row r="131" customFormat="false" ht="15" hidden="false" customHeight="true" outlineLevel="0" collapsed="false">
      <c r="A131" s="3" t="s">
        <v>482</v>
      </c>
      <c r="B131" s="3" t="s">
        <v>483</v>
      </c>
      <c r="C131" s="3" t="s">
        <v>484</v>
      </c>
      <c r="D131" s="4" t="s">
        <v>62</v>
      </c>
      <c r="E131" s="4" t="s">
        <v>481</v>
      </c>
      <c r="F131" s="4" t="s">
        <v>29</v>
      </c>
      <c r="G131" s="5"/>
      <c r="H131" s="6"/>
      <c r="I131" s="6"/>
      <c r="J131" s="4" t="n">
        <v>0</v>
      </c>
      <c r="K131" s="7" t="n">
        <v>9000</v>
      </c>
      <c r="L131" s="8" t="n">
        <v>0</v>
      </c>
      <c r="M131" s="7" t="n">
        <v>9000</v>
      </c>
      <c r="N131" s="7"/>
      <c r="O131" s="9" t="str">
        <f aca="false">IF(AND(N(G131)&gt;0,N(M131)&gt;0),G131/M131,"")</f>
        <v/>
      </c>
      <c r="P131" s="7" t="n">
        <v>9000</v>
      </c>
      <c r="Q131" s="7" t="n">
        <v>9000</v>
      </c>
      <c r="R131" s="4" t="s">
        <v>65</v>
      </c>
      <c r="S131" s="7"/>
      <c r="T131" s="7"/>
      <c r="U131" s="7"/>
      <c r="V131" s="7"/>
      <c r="W131" s="10" t="s">
        <v>31</v>
      </c>
      <c r="X131" s="10" t="s">
        <v>31</v>
      </c>
    </row>
    <row r="132" customFormat="false" ht="15" hidden="false" customHeight="true" outlineLevel="0" collapsed="false">
      <c r="A132" s="3" t="s">
        <v>485</v>
      </c>
      <c r="B132" s="3" t="s">
        <v>52</v>
      </c>
      <c r="C132" s="3" t="s">
        <v>53</v>
      </c>
      <c r="D132" s="4" t="s">
        <v>67</v>
      </c>
      <c r="E132" s="4" t="s">
        <v>54</v>
      </c>
      <c r="F132" s="4" t="s">
        <v>29</v>
      </c>
      <c r="G132" s="11" t="n">
        <v>3600</v>
      </c>
      <c r="H132" s="12" t="s">
        <v>36</v>
      </c>
      <c r="I132" s="12" t="s">
        <v>37</v>
      </c>
      <c r="J132" s="4" t="n">
        <v>0</v>
      </c>
      <c r="K132" s="7" t="n">
        <v>23750</v>
      </c>
      <c r="L132" s="8" t="n">
        <v>50</v>
      </c>
      <c r="M132" s="7" t="n">
        <v>11875</v>
      </c>
      <c r="N132" s="7" t="n">
        <v>7861</v>
      </c>
      <c r="O132" s="9" t="n">
        <f aca="false">IF(AND(N(G132)&gt;0,N(M132)&gt;0),G132/M132,"")</f>
        <v>0.303157894736842</v>
      </c>
      <c r="P132" s="7" t="n">
        <v>23750</v>
      </c>
      <c r="Q132" s="7" t="n">
        <v>11875</v>
      </c>
      <c r="R132" s="4" t="s">
        <v>65</v>
      </c>
      <c r="S132" s="7" t="n">
        <v>14790</v>
      </c>
      <c r="T132" s="7" t="n">
        <v>23750</v>
      </c>
      <c r="U132" s="7" t="n">
        <v>13790</v>
      </c>
      <c r="V132" s="7" t="n">
        <v>23750</v>
      </c>
      <c r="W132" s="10" t="s">
        <v>31</v>
      </c>
      <c r="X132" s="10" t="s">
        <v>31</v>
      </c>
    </row>
    <row r="133" customFormat="false" ht="15" hidden="false" customHeight="true" outlineLevel="0" collapsed="false">
      <c r="A133" s="3" t="s">
        <v>486</v>
      </c>
      <c r="B133" s="3" t="s">
        <v>52</v>
      </c>
      <c r="C133" s="3" t="s">
        <v>53</v>
      </c>
      <c r="D133" s="4" t="s">
        <v>487</v>
      </c>
      <c r="E133" s="4" t="s">
        <v>54</v>
      </c>
      <c r="F133" s="4" t="s">
        <v>29</v>
      </c>
      <c r="G133" s="11" t="n">
        <v>3600</v>
      </c>
      <c r="H133" s="12" t="s">
        <v>36</v>
      </c>
      <c r="I133" s="12" t="s">
        <v>37</v>
      </c>
      <c r="J133" s="4" t="n">
        <v>0</v>
      </c>
      <c r="K133" s="7" t="n">
        <v>23750</v>
      </c>
      <c r="L133" s="8" t="n">
        <v>50</v>
      </c>
      <c r="M133" s="7" t="n">
        <v>11875</v>
      </c>
      <c r="N133" s="7" t="n">
        <v>7861</v>
      </c>
      <c r="O133" s="9" t="n">
        <f aca="false">IF(AND(N(G133)&gt;0,N(M133)&gt;0),G133/M133,"")</f>
        <v>0.303157894736842</v>
      </c>
      <c r="P133" s="7" t="n">
        <v>23750</v>
      </c>
      <c r="Q133" s="7" t="n">
        <v>11875</v>
      </c>
      <c r="R133" s="4" t="s">
        <v>65</v>
      </c>
      <c r="S133" s="7" t="n">
        <v>14790</v>
      </c>
      <c r="T133" s="7" t="n">
        <v>23750</v>
      </c>
      <c r="U133" s="7" t="n">
        <v>13790</v>
      </c>
      <c r="V133" s="7" t="n">
        <v>23750</v>
      </c>
      <c r="W133" s="10" t="s">
        <v>31</v>
      </c>
      <c r="X133" s="10" t="s">
        <v>31</v>
      </c>
    </row>
    <row r="134" customFormat="false" ht="15" hidden="false" customHeight="true" outlineLevel="0" collapsed="false">
      <c r="A134" s="3" t="s">
        <v>488</v>
      </c>
      <c r="B134" s="3" t="s">
        <v>489</v>
      </c>
      <c r="C134" s="3" t="s">
        <v>490</v>
      </c>
      <c r="D134" s="4" t="s">
        <v>49</v>
      </c>
      <c r="E134" s="4" t="s">
        <v>491</v>
      </c>
      <c r="F134" s="4" t="s">
        <v>29</v>
      </c>
      <c r="G134" s="5"/>
      <c r="H134" s="6"/>
      <c r="I134" s="6"/>
      <c r="J134" s="4" t="n">
        <v>0</v>
      </c>
      <c r="K134" s="7" t="n">
        <v>9900</v>
      </c>
      <c r="L134" s="8" t="n">
        <v>0</v>
      </c>
      <c r="M134" s="7" t="n">
        <v>9900</v>
      </c>
      <c r="N134" s="7"/>
      <c r="O134" s="9" t="str">
        <f aca="false">IF(AND(N(G134)&gt;0,N(M134)&gt;0),G134/M134,"")</f>
        <v/>
      </c>
      <c r="P134" s="7" t="n">
        <v>9900</v>
      </c>
      <c r="Q134" s="7" t="n">
        <v>9900</v>
      </c>
      <c r="R134" s="4" t="s">
        <v>65</v>
      </c>
      <c r="S134" s="7"/>
      <c r="T134" s="7"/>
      <c r="U134" s="7"/>
      <c r="V134" s="7"/>
      <c r="W134" s="10" t="s">
        <v>31</v>
      </c>
      <c r="X134" s="10" t="s">
        <v>31</v>
      </c>
    </row>
    <row r="135" customFormat="false" ht="15" hidden="false" customHeight="true" outlineLevel="0" collapsed="false">
      <c r="A135" s="3" t="s">
        <v>492</v>
      </c>
      <c r="B135" s="3" t="s">
        <v>493</v>
      </c>
      <c r="C135" s="3" t="s">
        <v>494</v>
      </c>
      <c r="D135" s="4" t="s">
        <v>27</v>
      </c>
      <c r="E135" s="4" t="s">
        <v>491</v>
      </c>
      <c r="F135" s="4" t="s">
        <v>29</v>
      </c>
      <c r="G135" s="5"/>
      <c r="H135" s="6"/>
      <c r="I135" s="6"/>
      <c r="J135" s="4" t="n">
        <v>0</v>
      </c>
      <c r="K135" s="7" t="n">
        <v>9100</v>
      </c>
      <c r="L135" s="8" t="n">
        <v>0</v>
      </c>
      <c r="M135" s="7" t="n">
        <v>9100</v>
      </c>
      <c r="N135" s="7"/>
      <c r="O135" s="9" t="str">
        <f aca="false">IF(AND(N(G135)&gt;0,N(M135)&gt;0),G135/M135,"")</f>
        <v/>
      </c>
      <c r="P135" s="7" t="n">
        <v>9100</v>
      </c>
      <c r="Q135" s="7" t="n">
        <v>9100</v>
      </c>
      <c r="R135" s="4" t="s">
        <v>65</v>
      </c>
      <c r="S135" s="7"/>
      <c r="T135" s="7"/>
      <c r="U135" s="7"/>
      <c r="V135" s="7"/>
      <c r="W135" s="10" t="s">
        <v>31</v>
      </c>
      <c r="X135" s="10" t="s">
        <v>31</v>
      </c>
    </row>
    <row r="136" customFormat="false" ht="15" hidden="false" customHeight="true" outlineLevel="0" collapsed="false">
      <c r="A136" s="3" t="s">
        <v>495</v>
      </c>
      <c r="B136" s="3" t="s">
        <v>496</v>
      </c>
      <c r="C136" s="3" t="s">
        <v>497</v>
      </c>
      <c r="D136" s="4" t="s">
        <v>62</v>
      </c>
      <c r="E136" s="4" t="s">
        <v>498</v>
      </c>
      <c r="F136" s="4" t="s">
        <v>29</v>
      </c>
      <c r="G136" s="5"/>
      <c r="H136" s="6"/>
      <c r="I136" s="6"/>
      <c r="J136" s="4" t="n">
        <v>0</v>
      </c>
      <c r="K136" s="7" t="n">
        <v>4100</v>
      </c>
      <c r="L136" s="8" t="n">
        <v>0</v>
      </c>
      <c r="M136" s="7" t="n">
        <v>4100</v>
      </c>
      <c r="N136" s="7"/>
      <c r="O136" s="9" t="str">
        <f aca="false">IF(AND(N(G136)&gt;0,N(M136)&gt;0),G136/M136,"")</f>
        <v/>
      </c>
      <c r="P136" s="7" t="n">
        <v>4100</v>
      </c>
      <c r="Q136" s="7" t="n">
        <v>4100</v>
      </c>
      <c r="R136" s="4" t="s">
        <v>65</v>
      </c>
      <c r="S136" s="7"/>
      <c r="T136" s="7"/>
      <c r="U136" s="7"/>
      <c r="V136" s="7"/>
      <c r="W136" s="10" t="s">
        <v>31</v>
      </c>
      <c r="X136" s="10" t="s">
        <v>31</v>
      </c>
    </row>
    <row r="137" customFormat="false" ht="15" hidden="false" customHeight="true" outlineLevel="0" collapsed="false">
      <c r="A137" s="3" t="s">
        <v>499</v>
      </c>
      <c r="B137" s="3" t="s">
        <v>500</v>
      </c>
      <c r="C137" s="3" t="s">
        <v>501</v>
      </c>
      <c r="D137" s="4" t="s">
        <v>62</v>
      </c>
      <c r="E137" s="4" t="s">
        <v>502</v>
      </c>
      <c r="F137" s="4" t="s">
        <v>29</v>
      </c>
      <c r="G137" s="5"/>
      <c r="H137" s="6"/>
      <c r="I137" s="6"/>
      <c r="J137" s="4" t="n">
        <v>0</v>
      </c>
      <c r="K137" s="7" t="n">
        <v>14500</v>
      </c>
      <c r="L137" s="8" t="n">
        <v>0</v>
      </c>
      <c r="M137" s="7" t="n">
        <v>14500</v>
      </c>
      <c r="N137" s="7"/>
      <c r="O137" s="9" t="str">
        <f aca="false">IF(AND(N(G137)&gt;0,N(M137)&gt;0),G137/M137,"")</f>
        <v/>
      </c>
      <c r="P137" s="7" t="n">
        <v>14500</v>
      </c>
      <c r="Q137" s="7" t="n">
        <v>14500</v>
      </c>
      <c r="R137" s="4" t="s">
        <v>65</v>
      </c>
      <c r="S137" s="7"/>
      <c r="T137" s="7"/>
      <c r="U137" s="7"/>
      <c r="V137" s="7"/>
      <c r="W137" s="10" t="s">
        <v>31</v>
      </c>
      <c r="X137" s="10" t="s">
        <v>31</v>
      </c>
    </row>
    <row r="138" customFormat="false" ht="15" hidden="false" customHeight="true" outlineLevel="0" collapsed="false">
      <c r="A138" s="3" t="s">
        <v>503</v>
      </c>
      <c r="B138" s="3" t="s">
        <v>500</v>
      </c>
      <c r="C138" s="3" t="s">
        <v>501</v>
      </c>
      <c r="D138" s="4" t="s">
        <v>370</v>
      </c>
      <c r="E138" s="4" t="s">
        <v>502</v>
      </c>
      <c r="F138" s="4" t="s">
        <v>29</v>
      </c>
      <c r="G138" s="5"/>
      <c r="H138" s="6"/>
      <c r="I138" s="6"/>
      <c r="J138" s="4" t="n">
        <v>0</v>
      </c>
      <c r="K138" s="7" t="n">
        <v>14500</v>
      </c>
      <c r="L138" s="8" t="n">
        <v>0</v>
      </c>
      <c r="M138" s="7" t="n">
        <v>14500</v>
      </c>
      <c r="N138" s="7"/>
      <c r="O138" s="9" t="str">
        <f aca="false">IF(AND(N(G138)&gt;0,N(M138)&gt;0),G138/M138,"")</f>
        <v/>
      </c>
      <c r="P138" s="7" t="n">
        <v>14500</v>
      </c>
      <c r="Q138" s="7" t="n">
        <v>14500</v>
      </c>
      <c r="R138" s="4" t="s">
        <v>65</v>
      </c>
      <c r="S138" s="7"/>
      <c r="T138" s="7"/>
      <c r="U138" s="7"/>
      <c r="V138" s="7"/>
      <c r="W138" s="10" t="s">
        <v>31</v>
      </c>
      <c r="X138" s="10" t="s">
        <v>31</v>
      </c>
    </row>
    <row r="139" customFormat="false" ht="15" hidden="false" customHeight="true" outlineLevel="0" collapsed="false">
      <c r="A139" s="3" t="s">
        <v>504</v>
      </c>
      <c r="B139" s="3" t="s">
        <v>505</v>
      </c>
      <c r="C139" s="3" t="s">
        <v>506</v>
      </c>
      <c r="D139" s="4" t="s">
        <v>49</v>
      </c>
      <c r="E139" s="4" t="s">
        <v>507</v>
      </c>
      <c r="F139" s="4" t="s">
        <v>29</v>
      </c>
      <c r="G139" s="5"/>
      <c r="H139" s="6"/>
      <c r="I139" s="6"/>
      <c r="J139" s="4" t="n">
        <v>0</v>
      </c>
      <c r="K139" s="7" t="n">
        <v>5500</v>
      </c>
      <c r="L139" s="8" t="n">
        <v>0</v>
      </c>
      <c r="M139" s="7" t="n">
        <v>5500</v>
      </c>
      <c r="N139" s="7"/>
      <c r="O139" s="9" t="str">
        <f aca="false">IF(AND(N(G139)&gt;0,N(M139)&gt;0),G139/M139,"")</f>
        <v/>
      </c>
      <c r="P139" s="7" t="n">
        <v>5500</v>
      </c>
      <c r="Q139" s="7" t="n">
        <v>5500</v>
      </c>
      <c r="R139" s="4" t="s">
        <v>65</v>
      </c>
      <c r="S139" s="7"/>
      <c r="T139" s="7"/>
      <c r="U139" s="7"/>
      <c r="V139" s="7"/>
      <c r="W139" s="10" t="s">
        <v>31</v>
      </c>
      <c r="X139" s="10" t="s">
        <v>31</v>
      </c>
    </row>
    <row r="140" customFormat="false" ht="15" hidden="false" customHeight="true" outlineLevel="0" collapsed="false">
      <c r="A140" s="3" t="s">
        <v>508</v>
      </c>
      <c r="B140" s="3" t="s">
        <v>509</v>
      </c>
      <c r="C140" s="3" t="s">
        <v>510</v>
      </c>
      <c r="D140" s="4" t="s">
        <v>370</v>
      </c>
      <c r="E140" s="4" t="s">
        <v>511</v>
      </c>
      <c r="F140" s="4" t="s">
        <v>29</v>
      </c>
      <c r="G140" s="5"/>
      <c r="H140" s="6"/>
      <c r="I140" s="6"/>
      <c r="J140" s="4" t="n">
        <v>0</v>
      </c>
      <c r="K140" s="7" t="n">
        <v>14000</v>
      </c>
      <c r="L140" s="8" t="n">
        <v>0</v>
      </c>
      <c r="M140" s="7" t="n">
        <v>14000</v>
      </c>
      <c r="N140" s="7"/>
      <c r="O140" s="9" t="str">
        <f aca="false">IF(AND(N(G140)&gt;0,N(M140)&gt;0),G140/M140,"")</f>
        <v/>
      </c>
      <c r="P140" s="7" t="n">
        <v>14000</v>
      </c>
      <c r="Q140" s="7" t="n">
        <v>14000</v>
      </c>
      <c r="R140" s="4" t="s">
        <v>65</v>
      </c>
      <c r="S140" s="7"/>
      <c r="T140" s="7"/>
      <c r="U140" s="7"/>
      <c r="V140" s="7"/>
      <c r="W140" s="10" t="s">
        <v>31</v>
      </c>
      <c r="X140" s="10" t="s">
        <v>31</v>
      </c>
    </row>
    <row r="141" customFormat="false" ht="15" hidden="false" customHeight="true" outlineLevel="0" collapsed="false">
      <c r="A141" s="3" t="s">
        <v>512</v>
      </c>
      <c r="B141" s="3" t="s">
        <v>513</v>
      </c>
      <c r="C141" s="3" t="s">
        <v>514</v>
      </c>
      <c r="D141" s="4" t="s">
        <v>370</v>
      </c>
      <c r="E141" s="4" t="s">
        <v>511</v>
      </c>
      <c r="F141" s="4" t="s">
        <v>29</v>
      </c>
      <c r="G141" s="5"/>
      <c r="H141" s="6"/>
      <c r="I141" s="6"/>
      <c r="J141" s="4" t="n">
        <v>0</v>
      </c>
      <c r="K141" s="7" t="n">
        <v>12500</v>
      </c>
      <c r="L141" s="8" t="n">
        <v>0</v>
      </c>
      <c r="M141" s="7" t="n">
        <v>12500</v>
      </c>
      <c r="N141" s="7"/>
      <c r="O141" s="9" t="str">
        <f aca="false">IF(AND(N(G141)&gt;0,N(M141)&gt;0),G141/M141,"")</f>
        <v/>
      </c>
      <c r="P141" s="7" t="n">
        <v>12500</v>
      </c>
      <c r="Q141" s="7" t="n">
        <v>12500</v>
      </c>
      <c r="R141" s="4" t="s">
        <v>65</v>
      </c>
      <c r="S141" s="7"/>
      <c r="T141" s="7"/>
      <c r="U141" s="7"/>
      <c r="V141" s="7"/>
      <c r="W141" s="10" t="s">
        <v>31</v>
      </c>
      <c r="X141" s="10" t="s">
        <v>31</v>
      </c>
    </row>
    <row r="142" customFormat="false" ht="15" hidden="false" customHeight="true" outlineLevel="0" collapsed="false">
      <c r="A142" s="3" t="s">
        <v>515</v>
      </c>
      <c r="B142" s="3" t="s">
        <v>516</v>
      </c>
      <c r="C142" s="3" t="s">
        <v>517</v>
      </c>
      <c r="D142" s="4" t="s">
        <v>27</v>
      </c>
      <c r="E142" s="4" t="s">
        <v>518</v>
      </c>
      <c r="F142" s="4" t="s">
        <v>29</v>
      </c>
      <c r="G142" s="5"/>
      <c r="H142" s="6"/>
      <c r="I142" s="6"/>
      <c r="J142" s="4" t="n">
        <v>0</v>
      </c>
      <c r="K142" s="7" t="n">
        <v>12500</v>
      </c>
      <c r="L142" s="8" t="n">
        <v>0</v>
      </c>
      <c r="M142" s="7" t="n">
        <v>12500</v>
      </c>
      <c r="N142" s="7"/>
      <c r="O142" s="9" t="str">
        <f aca="false">IF(AND(N(G142)&gt;0,N(M142)&gt;0),G142/M142,"")</f>
        <v/>
      </c>
      <c r="P142" s="7" t="n">
        <v>12500</v>
      </c>
      <c r="Q142" s="7" t="n">
        <v>12500</v>
      </c>
      <c r="R142" s="4" t="s">
        <v>65</v>
      </c>
      <c r="S142" s="7"/>
      <c r="T142" s="7"/>
      <c r="U142" s="7"/>
      <c r="V142" s="7"/>
      <c r="W142" s="10" t="s">
        <v>31</v>
      </c>
      <c r="X142" s="10" t="s">
        <v>31</v>
      </c>
    </row>
    <row r="143" customFormat="false" ht="15" hidden="false" customHeight="true" outlineLevel="0" collapsed="false">
      <c r="A143" s="3" t="s">
        <v>519</v>
      </c>
      <c r="B143" s="3" t="s">
        <v>520</v>
      </c>
      <c r="C143" s="3" t="s">
        <v>521</v>
      </c>
      <c r="D143" s="4" t="s">
        <v>370</v>
      </c>
      <c r="E143" s="4" t="s">
        <v>522</v>
      </c>
      <c r="F143" s="4" t="s">
        <v>29</v>
      </c>
      <c r="G143" s="5"/>
      <c r="H143" s="6"/>
      <c r="I143" s="6"/>
      <c r="J143" s="4" t="n">
        <v>0</v>
      </c>
      <c r="K143" s="7" t="n">
        <v>9300</v>
      </c>
      <c r="L143" s="8" t="n">
        <v>0</v>
      </c>
      <c r="M143" s="7" t="n">
        <v>9300</v>
      </c>
      <c r="N143" s="7"/>
      <c r="O143" s="9" t="str">
        <f aca="false">IF(AND(N(G143)&gt;0,N(M143)&gt;0),G143/M143,"")</f>
        <v/>
      </c>
      <c r="P143" s="7" t="n">
        <v>9300</v>
      </c>
      <c r="Q143" s="7" t="n">
        <v>9300</v>
      </c>
      <c r="R143" s="4" t="s">
        <v>65</v>
      </c>
      <c r="S143" s="7"/>
      <c r="T143" s="7"/>
      <c r="U143" s="7"/>
      <c r="V143" s="7"/>
      <c r="W143" s="10" t="s">
        <v>31</v>
      </c>
      <c r="X143" s="10" t="s">
        <v>31</v>
      </c>
    </row>
    <row r="144" customFormat="false" ht="15" hidden="false" customHeight="true" outlineLevel="0" collapsed="false">
      <c r="A144" s="3" t="s">
        <v>523</v>
      </c>
      <c r="B144" s="3" t="s">
        <v>520</v>
      </c>
      <c r="C144" s="3" t="s">
        <v>521</v>
      </c>
      <c r="D144" s="4" t="s">
        <v>67</v>
      </c>
      <c r="E144" s="4" t="s">
        <v>522</v>
      </c>
      <c r="F144" s="4" t="s">
        <v>29</v>
      </c>
      <c r="G144" s="5"/>
      <c r="H144" s="6"/>
      <c r="I144" s="6"/>
      <c r="J144" s="4" t="n">
        <v>0</v>
      </c>
      <c r="K144" s="7" t="n">
        <v>9300</v>
      </c>
      <c r="L144" s="8" t="n">
        <v>0</v>
      </c>
      <c r="M144" s="7" t="n">
        <v>9300</v>
      </c>
      <c r="N144" s="7"/>
      <c r="O144" s="9" t="str">
        <f aca="false">IF(AND(N(G144)&gt;0,N(M144)&gt;0),G144/M144,"")</f>
        <v/>
      </c>
      <c r="P144" s="7" t="n">
        <v>9300</v>
      </c>
      <c r="Q144" s="7" t="n">
        <v>9300</v>
      </c>
      <c r="R144" s="4" t="s">
        <v>65</v>
      </c>
      <c r="S144" s="7"/>
      <c r="T144" s="7"/>
      <c r="U144" s="7"/>
      <c r="V144" s="7"/>
      <c r="W144" s="10" t="s">
        <v>31</v>
      </c>
      <c r="X144" s="10" t="s">
        <v>31</v>
      </c>
    </row>
    <row r="145" customFormat="false" ht="15" hidden="false" customHeight="true" outlineLevel="0" collapsed="false">
      <c r="A145" s="3" t="s">
        <v>524</v>
      </c>
      <c r="B145" s="3" t="s">
        <v>525</v>
      </c>
      <c r="C145" s="3" t="s">
        <v>526</v>
      </c>
      <c r="D145" s="4" t="s">
        <v>370</v>
      </c>
      <c r="E145" s="4" t="s">
        <v>527</v>
      </c>
      <c r="F145" s="4" t="s">
        <v>29</v>
      </c>
      <c r="G145" s="5"/>
      <c r="H145" s="6"/>
      <c r="I145" s="6"/>
      <c r="J145" s="4" t="n">
        <v>0</v>
      </c>
      <c r="K145" s="7" t="n">
        <v>20000</v>
      </c>
      <c r="L145" s="8" t="n">
        <v>0</v>
      </c>
      <c r="M145" s="7" t="n">
        <v>20000</v>
      </c>
      <c r="N145" s="7"/>
      <c r="O145" s="9" t="str">
        <f aca="false">IF(AND(N(G145)&gt;0,N(M145)&gt;0),G145/M145,"")</f>
        <v/>
      </c>
      <c r="P145" s="7" t="n">
        <v>20000</v>
      </c>
      <c r="Q145" s="7" t="n">
        <v>20000</v>
      </c>
      <c r="R145" s="4" t="s">
        <v>65</v>
      </c>
      <c r="S145" s="7"/>
      <c r="T145" s="7"/>
      <c r="U145" s="7"/>
      <c r="V145" s="7"/>
      <c r="W145" s="10" t="s">
        <v>31</v>
      </c>
      <c r="X145" s="10" t="s">
        <v>31</v>
      </c>
    </row>
    <row r="146" customFormat="false" ht="15" hidden="false" customHeight="true" outlineLevel="0" collapsed="false">
      <c r="A146" s="3" t="s">
        <v>528</v>
      </c>
      <c r="B146" s="3" t="s">
        <v>529</v>
      </c>
      <c r="C146" s="3" t="s">
        <v>530</v>
      </c>
      <c r="D146" s="4" t="s">
        <v>62</v>
      </c>
      <c r="E146" s="4" t="s">
        <v>531</v>
      </c>
      <c r="F146" s="4" t="s">
        <v>29</v>
      </c>
      <c r="G146" s="5"/>
      <c r="H146" s="6"/>
      <c r="I146" s="6"/>
      <c r="J146" s="4" t="n">
        <v>0</v>
      </c>
      <c r="K146" s="7" t="n">
        <v>8900</v>
      </c>
      <c r="L146" s="8" t="n">
        <v>0</v>
      </c>
      <c r="M146" s="7" t="n">
        <v>8900</v>
      </c>
      <c r="N146" s="7"/>
      <c r="O146" s="9" t="str">
        <f aca="false">IF(AND(N(G146)&gt;0,N(M146)&gt;0),G146/M146,"")</f>
        <v/>
      </c>
      <c r="P146" s="7" t="n">
        <v>8900</v>
      </c>
      <c r="Q146" s="7" t="n">
        <v>8900</v>
      </c>
      <c r="R146" s="4" t="s">
        <v>65</v>
      </c>
      <c r="S146" s="7"/>
      <c r="T146" s="7"/>
      <c r="U146" s="7"/>
      <c r="V146" s="7"/>
      <c r="W146" s="10" t="s">
        <v>31</v>
      </c>
      <c r="X146" s="10" t="s">
        <v>31</v>
      </c>
    </row>
    <row r="147" customFormat="false" ht="15" hidden="false" customHeight="true" outlineLevel="0" collapsed="false">
      <c r="A147" s="3" t="s">
        <v>532</v>
      </c>
      <c r="B147" s="3" t="s">
        <v>533</v>
      </c>
      <c r="C147" s="3" t="s">
        <v>534</v>
      </c>
      <c r="D147" s="4" t="s">
        <v>62</v>
      </c>
      <c r="E147" s="4" t="s">
        <v>535</v>
      </c>
      <c r="F147" s="4" t="s">
        <v>29</v>
      </c>
      <c r="G147" s="5"/>
      <c r="H147" s="6"/>
      <c r="I147" s="6"/>
      <c r="J147" s="4" t="n">
        <v>0</v>
      </c>
      <c r="K147" s="7" t="n">
        <v>5500</v>
      </c>
      <c r="L147" s="8" t="n">
        <v>0</v>
      </c>
      <c r="M147" s="7" t="n">
        <v>5500</v>
      </c>
      <c r="N147" s="7"/>
      <c r="O147" s="9" t="str">
        <f aca="false">IF(AND(N(G147)&gt;0,N(M147)&gt;0),G147/M147,"")</f>
        <v/>
      </c>
      <c r="P147" s="7" t="n">
        <v>5500</v>
      </c>
      <c r="Q147" s="7" t="n">
        <v>5500</v>
      </c>
      <c r="R147" s="4" t="s">
        <v>65</v>
      </c>
      <c r="S147" s="7"/>
      <c r="T147" s="7"/>
      <c r="U147" s="7"/>
      <c r="V147" s="7"/>
      <c r="W147" s="10" t="s">
        <v>31</v>
      </c>
      <c r="X147" s="10" t="s">
        <v>31</v>
      </c>
    </row>
    <row r="148" customFormat="false" ht="15" hidden="false" customHeight="true" outlineLevel="0" collapsed="false">
      <c r="A148" s="3" t="s">
        <v>536</v>
      </c>
      <c r="B148" s="3" t="s">
        <v>537</v>
      </c>
      <c r="C148" s="3" t="s">
        <v>538</v>
      </c>
      <c r="D148" s="4" t="s">
        <v>49</v>
      </c>
      <c r="E148" s="4" t="s">
        <v>539</v>
      </c>
      <c r="F148" s="4" t="s">
        <v>29</v>
      </c>
      <c r="G148" s="5"/>
      <c r="H148" s="6"/>
      <c r="I148" s="6"/>
      <c r="J148" s="4" t="n">
        <v>0</v>
      </c>
      <c r="K148" s="7" t="n">
        <v>18000</v>
      </c>
      <c r="L148" s="8" t="n">
        <v>0</v>
      </c>
      <c r="M148" s="7" t="n">
        <v>18000</v>
      </c>
      <c r="N148" s="7"/>
      <c r="O148" s="9" t="str">
        <f aca="false">IF(AND(N(G148)&gt;0,N(M148)&gt;0),G148/M148,"")</f>
        <v/>
      </c>
      <c r="P148" s="7" t="n">
        <v>18000</v>
      </c>
      <c r="Q148" s="7" t="n">
        <v>18000</v>
      </c>
      <c r="R148" s="4" t="s">
        <v>65</v>
      </c>
      <c r="S148" s="7"/>
      <c r="T148" s="7"/>
      <c r="U148" s="7"/>
      <c r="V148" s="7"/>
      <c r="W148" s="10" t="s">
        <v>31</v>
      </c>
      <c r="X148" s="10" t="s">
        <v>31</v>
      </c>
    </row>
    <row r="149" customFormat="false" ht="15" hidden="false" customHeight="true" outlineLevel="0" collapsed="false">
      <c r="A149" s="3" t="s">
        <v>540</v>
      </c>
      <c r="B149" s="3" t="s">
        <v>56</v>
      </c>
      <c r="C149" s="3" t="s">
        <v>57</v>
      </c>
      <c r="D149" s="4" t="s">
        <v>67</v>
      </c>
      <c r="E149" s="4" t="s">
        <v>58</v>
      </c>
      <c r="F149" s="4" t="s">
        <v>29</v>
      </c>
      <c r="G149" s="11" t="n">
        <v>2300</v>
      </c>
      <c r="H149" s="12" t="s">
        <v>36</v>
      </c>
      <c r="I149" s="12" t="s">
        <v>37</v>
      </c>
      <c r="J149" s="4" t="n">
        <v>0</v>
      </c>
      <c r="K149" s="7" t="n">
        <v>10500</v>
      </c>
      <c r="L149" s="8" t="n">
        <v>11</v>
      </c>
      <c r="M149" s="7" t="n">
        <v>9345</v>
      </c>
      <c r="N149" s="7" t="n">
        <v>6092</v>
      </c>
      <c r="O149" s="9" t="n">
        <f aca="false">IF(AND(N(G149)&gt;0,N(M149)&gt;0),G149/M149,"")</f>
        <v>0.246120920278224</v>
      </c>
      <c r="P149" s="7" t="n">
        <v>10500</v>
      </c>
      <c r="Q149" s="7" t="n">
        <v>9345</v>
      </c>
      <c r="R149" s="4" t="s">
        <v>65</v>
      </c>
      <c r="S149" s="7" t="n">
        <v>11630</v>
      </c>
      <c r="T149" s="7" t="n">
        <v>15575</v>
      </c>
      <c r="U149" s="7" t="n">
        <v>11090</v>
      </c>
      <c r="V149" s="7" t="n">
        <v>13350</v>
      </c>
      <c r="W149" s="10" t="s">
        <v>31</v>
      </c>
      <c r="X149" s="10" t="s">
        <v>31</v>
      </c>
    </row>
    <row r="150" customFormat="false" ht="15" hidden="false" customHeight="true" outlineLevel="0" collapsed="false">
      <c r="A150" s="3" t="s">
        <v>541</v>
      </c>
      <c r="B150" s="3" t="s">
        <v>542</v>
      </c>
      <c r="C150" s="3" t="s">
        <v>543</v>
      </c>
      <c r="D150" s="4" t="s">
        <v>27</v>
      </c>
      <c r="E150" s="4" t="s">
        <v>544</v>
      </c>
      <c r="F150" s="4" t="s">
        <v>29</v>
      </c>
      <c r="G150" s="11" t="n">
        <v>7600</v>
      </c>
      <c r="H150" s="12" t="s">
        <v>36</v>
      </c>
      <c r="I150" s="12" t="s">
        <v>37</v>
      </c>
      <c r="J150" s="4" t="n">
        <v>0</v>
      </c>
      <c r="K150" s="7" t="n">
        <v>17500</v>
      </c>
      <c r="L150" s="8" t="n">
        <v>0</v>
      </c>
      <c r="M150" s="7" t="n">
        <v>17500</v>
      </c>
      <c r="N150" s="7"/>
      <c r="O150" s="9" t="n">
        <f aca="false">IF(AND(N(G150)&gt;0,N(M150)&gt;0),G150/M150,"")</f>
        <v>0.434285714285714</v>
      </c>
      <c r="P150" s="7" t="n">
        <v>17500</v>
      </c>
      <c r="Q150" s="7" t="n">
        <v>17500</v>
      </c>
      <c r="R150" s="4" t="s">
        <v>65</v>
      </c>
      <c r="S150" s="7"/>
      <c r="T150" s="7"/>
      <c r="U150" s="7"/>
      <c r="V150" s="7"/>
      <c r="W150" s="10" t="s">
        <v>31</v>
      </c>
      <c r="X150" s="10" t="s">
        <v>31</v>
      </c>
    </row>
    <row r="151" customFormat="false" ht="15" hidden="false" customHeight="true" outlineLevel="0" collapsed="false">
      <c r="A151" s="3" t="s">
        <v>545</v>
      </c>
      <c r="B151" s="3" t="s">
        <v>60</v>
      </c>
      <c r="C151" s="3" t="s">
        <v>61</v>
      </c>
      <c r="D151" s="4" t="s">
        <v>370</v>
      </c>
      <c r="E151" s="4" t="s">
        <v>63</v>
      </c>
      <c r="F151" s="4" t="s">
        <v>29</v>
      </c>
      <c r="G151" s="11" t="n">
        <v>1300</v>
      </c>
      <c r="H151" s="12" t="s">
        <v>36</v>
      </c>
      <c r="I151" s="12" t="s">
        <v>37</v>
      </c>
      <c r="J151" s="4" t="n">
        <v>0</v>
      </c>
      <c r="K151" s="7" t="n">
        <v>7800</v>
      </c>
      <c r="L151" s="8" t="n">
        <v>10</v>
      </c>
      <c r="M151" s="7" t="n">
        <v>7020</v>
      </c>
      <c r="N151" s="7" t="n">
        <v>4577</v>
      </c>
      <c r="O151" s="9" t="n">
        <f aca="false">IF(AND(N(G151)&gt;0,N(M151)&gt;0),G151/M151,"")</f>
        <v>0.185185185185185</v>
      </c>
      <c r="P151" s="7" t="n">
        <v>7800</v>
      </c>
      <c r="Q151" s="7" t="n">
        <v>7020</v>
      </c>
      <c r="R151" s="4" t="s">
        <v>65</v>
      </c>
      <c r="S151" s="7" t="n">
        <v>9230</v>
      </c>
      <c r="T151" s="7" t="n">
        <v>11400</v>
      </c>
      <c r="U151" s="7" t="n">
        <v>8800</v>
      </c>
      <c r="V151" s="7" t="n">
        <v>11400</v>
      </c>
      <c r="W151" s="10" t="s">
        <v>31</v>
      </c>
      <c r="X151" s="10" t="s">
        <v>31</v>
      </c>
    </row>
    <row r="152" customFormat="false" ht="15" hidden="false" customHeight="true" outlineLevel="0" collapsed="false">
      <c r="A152" s="3" t="s">
        <v>546</v>
      </c>
      <c r="B152" s="3" t="s">
        <v>547</v>
      </c>
      <c r="C152" s="3" t="s">
        <v>548</v>
      </c>
      <c r="D152" s="4" t="s">
        <v>27</v>
      </c>
      <c r="E152" s="4" t="s">
        <v>549</v>
      </c>
      <c r="F152" s="4" t="s">
        <v>29</v>
      </c>
      <c r="G152" s="11" t="n">
        <v>7600</v>
      </c>
      <c r="H152" s="12" t="s">
        <v>36</v>
      </c>
      <c r="I152" s="12" t="s">
        <v>37</v>
      </c>
      <c r="J152" s="4" t="n">
        <v>0</v>
      </c>
      <c r="K152" s="7" t="n">
        <v>20500</v>
      </c>
      <c r="L152" s="8" t="n">
        <v>18</v>
      </c>
      <c r="M152" s="7" t="n">
        <v>16810</v>
      </c>
      <c r="N152" s="7"/>
      <c r="O152" s="9" t="n">
        <f aca="false">IF(AND(N(G152)&gt;0,N(M152)&gt;0),G152/M152,"")</f>
        <v>0.452111838191553</v>
      </c>
      <c r="P152" s="7" t="n">
        <v>20500</v>
      </c>
      <c r="Q152" s="7" t="n">
        <v>16810</v>
      </c>
      <c r="R152" s="4" t="s">
        <v>65</v>
      </c>
      <c r="S152" s="7"/>
      <c r="T152" s="7"/>
      <c r="U152" s="7"/>
      <c r="V152" s="7"/>
      <c r="W152" s="10" t="s">
        <v>31</v>
      </c>
      <c r="X152" s="10" t="s">
        <v>31</v>
      </c>
    </row>
    <row r="153" customFormat="false" ht="15" hidden="false" customHeight="true" outlineLevel="0" collapsed="false">
      <c r="A153" s="3" t="s">
        <v>550</v>
      </c>
      <c r="B153" s="3" t="s">
        <v>551</v>
      </c>
      <c r="C153" s="3" t="s">
        <v>552</v>
      </c>
      <c r="D153" s="4" t="s">
        <v>487</v>
      </c>
      <c r="E153" s="4" t="s">
        <v>553</v>
      </c>
      <c r="F153" s="4" t="s">
        <v>554</v>
      </c>
      <c r="G153" s="5"/>
      <c r="H153" s="6"/>
      <c r="I153" s="6"/>
      <c r="J153" s="4" t="n">
        <v>0</v>
      </c>
      <c r="K153" s="7" t="n">
        <v>28000</v>
      </c>
      <c r="L153" s="8" t="n">
        <v>0</v>
      </c>
      <c r="M153" s="7" t="n">
        <v>28000</v>
      </c>
      <c r="N153" s="7"/>
      <c r="O153" s="9" t="str">
        <f aca="false">IF(AND(N(G153)&gt;0,N(M153)&gt;0),G153/M153,"")</f>
        <v/>
      </c>
      <c r="P153" s="7" t="n">
        <v>28000</v>
      </c>
      <c r="Q153" s="7" t="n">
        <v>28000</v>
      </c>
      <c r="R153" s="4" t="s">
        <v>65</v>
      </c>
      <c r="S153" s="7"/>
      <c r="T153" s="7"/>
      <c r="U153" s="7"/>
      <c r="V153" s="7"/>
      <c r="W153" s="10" t="s">
        <v>31</v>
      </c>
      <c r="X153" s="10" t="s">
        <v>31</v>
      </c>
    </row>
    <row r="154" customFormat="false" ht="15" hidden="false" customHeight="true" outlineLevel="0" collapsed="false">
      <c r="A154" s="3" t="s">
        <v>555</v>
      </c>
      <c r="B154" s="3" t="s">
        <v>556</v>
      </c>
      <c r="C154" s="3" t="s">
        <v>557</v>
      </c>
      <c r="D154" s="4"/>
      <c r="E154" s="4" t="s">
        <v>558</v>
      </c>
      <c r="F154" s="4" t="s">
        <v>554</v>
      </c>
      <c r="G154" s="11" t="n">
        <v>7800</v>
      </c>
      <c r="H154" s="12" t="s">
        <v>36</v>
      </c>
      <c r="I154" s="12" t="s">
        <v>37</v>
      </c>
      <c r="J154" s="4" t="n">
        <v>0</v>
      </c>
      <c r="K154" s="7" t="n">
        <v>37500</v>
      </c>
      <c r="L154" s="8" t="n">
        <v>32</v>
      </c>
      <c r="M154" s="7" t="n">
        <v>25500</v>
      </c>
      <c r="N154" s="7"/>
      <c r="O154" s="9" t="n">
        <f aca="false">IF(AND(N(G154)&gt;0,N(M154)&gt;0),G154/M154,"")</f>
        <v>0.305882352941177</v>
      </c>
      <c r="P154" s="7" t="n">
        <v>37500</v>
      </c>
      <c r="Q154" s="7" t="n">
        <v>25500</v>
      </c>
      <c r="R154" s="4" t="s">
        <v>65</v>
      </c>
      <c r="S154" s="7" t="n">
        <v>31790</v>
      </c>
      <c r="T154" s="7" t="n">
        <v>37500</v>
      </c>
      <c r="U154" s="7" t="n">
        <v>30190</v>
      </c>
      <c r="V154" s="7" t="n">
        <v>37500</v>
      </c>
      <c r="W154" s="10" t="s">
        <v>31</v>
      </c>
      <c r="X154" s="10" t="s">
        <v>31</v>
      </c>
    </row>
    <row r="155" customFormat="false" ht="15" hidden="false" customHeight="true" outlineLevel="0" collapsed="false">
      <c r="A155" s="3" t="s">
        <v>559</v>
      </c>
      <c r="B155" s="3" t="s">
        <v>556</v>
      </c>
      <c r="C155" s="3" t="s">
        <v>557</v>
      </c>
      <c r="D155" s="4" t="s">
        <v>49</v>
      </c>
      <c r="E155" s="4" t="s">
        <v>558</v>
      </c>
      <c r="F155" s="4" t="s">
        <v>554</v>
      </c>
      <c r="G155" s="11" t="n">
        <v>7800</v>
      </c>
      <c r="H155" s="12" t="s">
        <v>36</v>
      </c>
      <c r="I155" s="12" t="s">
        <v>37</v>
      </c>
      <c r="J155" s="4" t="n">
        <v>0</v>
      </c>
      <c r="K155" s="7" t="n">
        <v>37500</v>
      </c>
      <c r="L155" s="8" t="n">
        <v>32</v>
      </c>
      <c r="M155" s="7" t="n">
        <v>25500</v>
      </c>
      <c r="N155" s="7"/>
      <c r="O155" s="9" t="n">
        <f aca="false">IF(AND(N(G155)&gt;0,N(M155)&gt;0),G155/M155,"")</f>
        <v>0.305882352941177</v>
      </c>
      <c r="P155" s="7" t="n">
        <v>37500</v>
      </c>
      <c r="Q155" s="7" t="n">
        <v>25500</v>
      </c>
      <c r="R155" s="4" t="s">
        <v>65</v>
      </c>
      <c r="S155" s="7" t="n">
        <v>31790</v>
      </c>
      <c r="T155" s="7" t="n">
        <v>37500</v>
      </c>
      <c r="U155" s="7" t="n">
        <v>30190</v>
      </c>
      <c r="V155" s="7" t="n">
        <v>37500</v>
      </c>
      <c r="W155" s="10" t="s">
        <v>31</v>
      </c>
      <c r="X155" s="10" t="s">
        <v>31</v>
      </c>
    </row>
    <row r="156" customFormat="false" ht="15" hidden="false" customHeight="true" outlineLevel="0" collapsed="false">
      <c r="A156" s="3" t="s">
        <v>560</v>
      </c>
      <c r="B156" s="3" t="s">
        <v>556</v>
      </c>
      <c r="C156" s="3" t="s">
        <v>557</v>
      </c>
      <c r="D156" s="4" t="s">
        <v>62</v>
      </c>
      <c r="E156" s="4" t="s">
        <v>558</v>
      </c>
      <c r="F156" s="4" t="s">
        <v>554</v>
      </c>
      <c r="G156" s="11" t="n">
        <v>7800</v>
      </c>
      <c r="H156" s="12" t="s">
        <v>36</v>
      </c>
      <c r="I156" s="12" t="s">
        <v>37</v>
      </c>
      <c r="J156" s="4" t="n">
        <v>0</v>
      </c>
      <c r="K156" s="7" t="n">
        <v>37500</v>
      </c>
      <c r="L156" s="8" t="n">
        <v>32</v>
      </c>
      <c r="M156" s="7" t="n">
        <v>25500</v>
      </c>
      <c r="N156" s="7"/>
      <c r="O156" s="9" t="n">
        <f aca="false">IF(AND(N(G156)&gt;0,N(M156)&gt;0),G156/M156,"")</f>
        <v>0.305882352941177</v>
      </c>
      <c r="P156" s="7" t="n">
        <v>37500</v>
      </c>
      <c r="Q156" s="7" t="n">
        <v>25500</v>
      </c>
      <c r="R156" s="4" t="s">
        <v>65</v>
      </c>
      <c r="S156" s="7" t="n">
        <v>31790</v>
      </c>
      <c r="T156" s="7" t="n">
        <v>37500</v>
      </c>
      <c r="U156" s="7" t="n">
        <v>30190</v>
      </c>
      <c r="V156" s="7" t="n">
        <v>37500</v>
      </c>
      <c r="W156" s="10" t="s">
        <v>31</v>
      </c>
      <c r="X156" s="10" t="s">
        <v>31</v>
      </c>
    </row>
    <row r="157" customFormat="false" ht="15" hidden="false" customHeight="true" outlineLevel="0" collapsed="false">
      <c r="A157" s="3" t="s">
        <v>561</v>
      </c>
      <c r="B157" s="3" t="s">
        <v>556</v>
      </c>
      <c r="C157" s="3" t="s">
        <v>557</v>
      </c>
      <c r="D157" s="4" t="s">
        <v>370</v>
      </c>
      <c r="E157" s="4" t="s">
        <v>558</v>
      </c>
      <c r="F157" s="4" t="s">
        <v>554</v>
      </c>
      <c r="G157" s="11" t="n">
        <v>7800</v>
      </c>
      <c r="H157" s="12" t="s">
        <v>36</v>
      </c>
      <c r="I157" s="12" t="s">
        <v>37</v>
      </c>
      <c r="J157" s="4" t="n">
        <v>0</v>
      </c>
      <c r="K157" s="7" t="n">
        <v>37500</v>
      </c>
      <c r="L157" s="8" t="n">
        <v>32</v>
      </c>
      <c r="M157" s="7" t="n">
        <v>25500</v>
      </c>
      <c r="N157" s="7"/>
      <c r="O157" s="9" t="n">
        <f aca="false">IF(AND(N(G157)&gt;0,N(M157)&gt;0),G157/M157,"")</f>
        <v>0.305882352941177</v>
      </c>
      <c r="P157" s="7" t="n">
        <v>37500</v>
      </c>
      <c r="Q157" s="7" t="n">
        <v>25500</v>
      </c>
      <c r="R157" s="4" t="s">
        <v>65</v>
      </c>
      <c r="S157" s="7" t="n">
        <v>31790</v>
      </c>
      <c r="T157" s="7" t="n">
        <v>37500</v>
      </c>
      <c r="U157" s="7" t="n">
        <v>30190</v>
      </c>
      <c r="V157" s="7" t="n">
        <v>37500</v>
      </c>
      <c r="W157" s="10" t="s">
        <v>31</v>
      </c>
      <c r="X157" s="10" t="s">
        <v>31</v>
      </c>
    </row>
    <row r="158" customFormat="false" ht="15" hidden="false" customHeight="true" outlineLevel="0" collapsed="false">
      <c r="A158" s="3" t="s">
        <v>562</v>
      </c>
      <c r="B158" s="3" t="s">
        <v>556</v>
      </c>
      <c r="C158" s="3" t="s">
        <v>557</v>
      </c>
      <c r="D158" s="4" t="s">
        <v>27</v>
      </c>
      <c r="E158" s="4" t="s">
        <v>558</v>
      </c>
      <c r="F158" s="4" t="s">
        <v>554</v>
      </c>
      <c r="G158" s="11" t="n">
        <v>7800</v>
      </c>
      <c r="H158" s="12" t="s">
        <v>36</v>
      </c>
      <c r="I158" s="12" t="s">
        <v>37</v>
      </c>
      <c r="J158" s="4" t="n">
        <v>0</v>
      </c>
      <c r="K158" s="7" t="n">
        <v>37500</v>
      </c>
      <c r="L158" s="8" t="n">
        <v>32</v>
      </c>
      <c r="M158" s="7" t="n">
        <v>25500</v>
      </c>
      <c r="N158" s="7"/>
      <c r="O158" s="9" t="n">
        <f aca="false">IF(AND(N(G158)&gt;0,N(M158)&gt;0),G158/M158,"")</f>
        <v>0.305882352941177</v>
      </c>
      <c r="P158" s="7" t="n">
        <v>37500</v>
      </c>
      <c r="Q158" s="7" t="n">
        <v>25500</v>
      </c>
      <c r="R158" s="4" t="s">
        <v>65</v>
      </c>
      <c r="S158" s="7" t="n">
        <v>31790</v>
      </c>
      <c r="T158" s="7" t="n">
        <v>37500</v>
      </c>
      <c r="U158" s="7" t="n">
        <v>30190</v>
      </c>
      <c r="V158" s="7" t="n">
        <v>37500</v>
      </c>
      <c r="W158" s="10" t="s">
        <v>31</v>
      </c>
      <c r="X158" s="10" t="s">
        <v>31</v>
      </c>
    </row>
    <row r="159" customFormat="false" ht="15" hidden="false" customHeight="true" outlineLevel="0" collapsed="false">
      <c r="A159" s="3" t="s">
        <v>563</v>
      </c>
      <c r="B159" s="3" t="s">
        <v>556</v>
      </c>
      <c r="C159" s="3" t="s">
        <v>557</v>
      </c>
      <c r="D159" s="4" t="s">
        <v>67</v>
      </c>
      <c r="E159" s="4" t="s">
        <v>558</v>
      </c>
      <c r="F159" s="4" t="s">
        <v>554</v>
      </c>
      <c r="G159" s="11" t="n">
        <v>7800</v>
      </c>
      <c r="H159" s="12" t="s">
        <v>36</v>
      </c>
      <c r="I159" s="12" t="s">
        <v>37</v>
      </c>
      <c r="J159" s="4" t="n">
        <v>0</v>
      </c>
      <c r="K159" s="7" t="n">
        <v>37500</v>
      </c>
      <c r="L159" s="8" t="n">
        <v>32</v>
      </c>
      <c r="M159" s="7" t="n">
        <v>25500</v>
      </c>
      <c r="N159" s="7"/>
      <c r="O159" s="9" t="n">
        <f aca="false">IF(AND(N(G159)&gt;0,N(M159)&gt;0),G159/M159,"")</f>
        <v>0.305882352941177</v>
      </c>
      <c r="P159" s="7" t="n">
        <v>37500</v>
      </c>
      <c r="Q159" s="7" t="n">
        <v>25500</v>
      </c>
      <c r="R159" s="4" t="s">
        <v>65</v>
      </c>
      <c r="S159" s="7" t="n">
        <v>31790</v>
      </c>
      <c r="T159" s="7" t="n">
        <v>37500</v>
      </c>
      <c r="U159" s="7" t="n">
        <v>30190</v>
      </c>
      <c r="V159" s="7" t="n">
        <v>37500</v>
      </c>
      <c r="W159" s="10" t="s">
        <v>31</v>
      </c>
      <c r="X159" s="10" t="s">
        <v>31</v>
      </c>
    </row>
    <row r="160" customFormat="false" ht="15" hidden="false" customHeight="true" outlineLevel="0" collapsed="false">
      <c r="A160" s="3" t="s">
        <v>564</v>
      </c>
      <c r="B160" s="3" t="s">
        <v>556</v>
      </c>
      <c r="C160" s="3" t="s">
        <v>557</v>
      </c>
      <c r="D160" s="4" t="s">
        <v>487</v>
      </c>
      <c r="E160" s="4" t="s">
        <v>558</v>
      </c>
      <c r="F160" s="4" t="s">
        <v>554</v>
      </c>
      <c r="G160" s="11" t="n">
        <v>7800</v>
      </c>
      <c r="H160" s="12" t="s">
        <v>36</v>
      </c>
      <c r="I160" s="12" t="s">
        <v>37</v>
      </c>
      <c r="J160" s="4" t="n">
        <v>0</v>
      </c>
      <c r="K160" s="7" t="n">
        <v>37500</v>
      </c>
      <c r="L160" s="8" t="n">
        <v>32</v>
      </c>
      <c r="M160" s="7" t="n">
        <v>25500</v>
      </c>
      <c r="N160" s="7"/>
      <c r="O160" s="9" t="n">
        <f aca="false">IF(AND(N(G160)&gt;0,N(M160)&gt;0),G160/M160,"")</f>
        <v>0.305882352941177</v>
      </c>
      <c r="P160" s="7" t="n">
        <v>37500</v>
      </c>
      <c r="Q160" s="7" t="n">
        <v>25500</v>
      </c>
      <c r="R160" s="4" t="s">
        <v>65</v>
      </c>
      <c r="S160" s="7" t="n">
        <v>31790</v>
      </c>
      <c r="T160" s="7" t="n">
        <v>37500</v>
      </c>
      <c r="U160" s="7" t="n">
        <v>30190</v>
      </c>
      <c r="V160" s="7" t="n">
        <v>37500</v>
      </c>
      <c r="W160" s="10" t="s">
        <v>31</v>
      </c>
      <c r="X160" s="10" t="s">
        <v>31</v>
      </c>
    </row>
    <row r="161" customFormat="false" ht="15" hidden="false" customHeight="true" outlineLevel="0" collapsed="false">
      <c r="A161" s="3" t="s">
        <v>565</v>
      </c>
      <c r="B161" s="3" t="s">
        <v>566</v>
      </c>
      <c r="C161" s="3" t="s">
        <v>567</v>
      </c>
      <c r="D161" s="4"/>
      <c r="E161" s="4" t="s">
        <v>568</v>
      </c>
      <c r="F161" s="4" t="s">
        <v>72</v>
      </c>
      <c r="G161" s="5"/>
      <c r="H161" s="6"/>
      <c r="I161" s="6"/>
      <c r="J161" s="4" t="n">
        <v>0</v>
      </c>
      <c r="K161" s="7" t="n">
        <v>31250</v>
      </c>
      <c r="L161" s="8" t="n">
        <v>52</v>
      </c>
      <c r="M161" s="7" t="n">
        <v>15000</v>
      </c>
      <c r="N161" s="7"/>
      <c r="O161" s="9" t="str">
        <f aca="false">IF(AND(N(G161)&gt;0,N(M161)&gt;0),G161/M161,"")</f>
        <v/>
      </c>
      <c r="P161" s="7" t="n">
        <v>31250</v>
      </c>
      <c r="Q161" s="7" t="n">
        <v>15000</v>
      </c>
      <c r="R161" s="4" t="s">
        <v>65</v>
      </c>
      <c r="S161" s="7" t="n">
        <v>25290</v>
      </c>
      <c r="T161" s="7" t="n">
        <v>31250</v>
      </c>
      <c r="U161" s="7" t="n">
        <v>25390</v>
      </c>
      <c r="V161" s="7" t="n">
        <v>31250</v>
      </c>
      <c r="W161" s="10" t="s">
        <v>31</v>
      </c>
      <c r="X161" s="10" t="s">
        <v>31</v>
      </c>
    </row>
    <row r="162" customFormat="false" ht="15" hidden="false" customHeight="true" outlineLevel="0" collapsed="false">
      <c r="A162" s="3" t="s">
        <v>569</v>
      </c>
      <c r="B162" s="3" t="s">
        <v>570</v>
      </c>
      <c r="C162" s="3" t="s">
        <v>571</v>
      </c>
      <c r="D162" s="4"/>
      <c r="E162" s="4" t="s">
        <v>572</v>
      </c>
      <c r="F162" s="4" t="s">
        <v>72</v>
      </c>
      <c r="G162" s="5"/>
      <c r="H162" s="6"/>
      <c r="I162" s="6"/>
      <c r="J162" s="4" t="n">
        <v>0</v>
      </c>
      <c r="K162" s="7"/>
      <c r="L162" s="4"/>
      <c r="M162" s="7"/>
      <c r="N162" s="7"/>
      <c r="O162" s="9" t="str">
        <f aca="false">IF(AND(N(G162)&gt;0,N(M162)&gt;0),G162/M162,"")</f>
        <v/>
      </c>
      <c r="P162" s="7"/>
      <c r="Q162" s="7"/>
      <c r="R162" s="4" t="s">
        <v>155</v>
      </c>
      <c r="S162" s="7"/>
      <c r="T162" s="7"/>
      <c r="U162" s="7"/>
      <c r="V162" s="7"/>
      <c r="W162" s="10" t="s">
        <v>31</v>
      </c>
      <c r="X162" s="4"/>
    </row>
    <row r="163" customFormat="false" ht="15" hidden="false" customHeight="true" outlineLevel="0" collapsed="false">
      <c r="A163" s="3" t="s">
        <v>573</v>
      </c>
      <c r="B163" s="3" t="s">
        <v>574</v>
      </c>
      <c r="C163" s="3" t="s">
        <v>575</v>
      </c>
      <c r="D163" s="4"/>
      <c r="E163" s="4" t="s">
        <v>576</v>
      </c>
      <c r="F163" s="4" t="s">
        <v>72</v>
      </c>
      <c r="G163" s="5"/>
      <c r="H163" s="6"/>
      <c r="I163" s="6"/>
      <c r="J163" s="4" t="n">
        <v>0</v>
      </c>
      <c r="K163" s="7" t="n">
        <v>40500</v>
      </c>
      <c r="L163" s="8" t="n">
        <v>55</v>
      </c>
      <c r="M163" s="7" t="n">
        <v>18225</v>
      </c>
      <c r="N163" s="7"/>
      <c r="O163" s="9" t="str">
        <f aca="false">IF(AND(N(G163)&gt;0,N(M163)&gt;0),G163/M163,"")</f>
        <v/>
      </c>
      <c r="P163" s="7" t="n">
        <v>40500</v>
      </c>
      <c r="Q163" s="7" t="n">
        <v>18225</v>
      </c>
      <c r="R163" s="4" t="s">
        <v>30</v>
      </c>
      <c r="S163" s="7" t="n">
        <v>32790</v>
      </c>
      <c r="T163" s="7" t="n">
        <v>40500</v>
      </c>
      <c r="U163" s="7" t="n">
        <v>30490</v>
      </c>
      <c r="V163" s="7" t="n">
        <v>40500</v>
      </c>
      <c r="W163" s="10" t="s">
        <v>31</v>
      </c>
      <c r="X163" s="10" t="s">
        <v>31</v>
      </c>
    </row>
    <row r="164" customFormat="false" ht="15" hidden="false" customHeight="true" outlineLevel="0" collapsed="false">
      <c r="A164" s="3" t="s">
        <v>577</v>
      </c>
      <c r="B164" s="3" t="s">
        <v>578</v>
      </c>
      <c r="C164" s="3" t="s">
        <v>579</v>
      </c>
      <c r="D164" s="4"/>
      <c r="E164" s="4" t="s">
        <v>580</v>
      </c>
      <c r="F164" s="4" t="s">
        <v>72</v>
      </c>
      <c r="G164" s="5"/>
      <c r="H164" s="6"/>
      <c r="I164" s="6"/>
      <c r="J164" s="4" t="n">
        <v>0</v>
      </c>
      <c r="K164" s="7" t="n">
        <v>50000</v>
      </c>
      <c r="L164" s="8" t="n">
        <v>47</v>
      </c>
      <c r="M164" s="7" t="n">
        <v>26500</v>
      </c>
      <c r="N164" s="7"/>
      <c r="O164" s="9" t="str">
        <f aca="false">IF(AND(N(G164)&gt;0,N(M164)&gt;0),G164/M164,"")</f>
        <v/>
      </c>
      <c r="P164" s="7" t="n">
        <v>50000</v>
      </c>
      <c r="Q164" s="7" t="n">
        <v>26500</v>
      </c>
      <c r="R164" s="4" t="s">
        <v>65</v>
      </c>
      <c r="S164" s="7" t="n">
        <v>38290</v>
      </c>
      <c r="T164" s="7" t="n">
        <v>50000</v>
      </c>
      <c r="U164" s="7" t="n">
        <v>38390</v>
      </c>
      <c r="V164" s="7" t="n">
        <v>50000</v>
      </c>
      <c r="W164" s="10" t="s">
        <v>31</v>
      </c>
      <c r="X164" s="10" t="s">
        <v>31</v>
      </c>
    </row>
    <row r="165" customFormat="false" ht="15" hidden="false" customHeight="true" outlineLevel="0" collapsed="false">
      <c r="A165" s="3" t="s">
        <v>581</v>
      </c>
      <c r="B165" s="3" t="s">
        <v>582</v>
      </c>
      <c r="C165" s="3" t="s">
        <v>583</v>
      </c>
      <c r="D165" s="4"/>
      <c r="E165" s="4" t="s">
        <v>584</v>
      </c>
      <c r="F165" s="4" t="s">
        <v>72</v>
      </c>
      <c r="G165" s="11" t="n">
        <v>3500</v>
      </c>
      <c r="H165" s="12" t="s">
        <v>36</v>
      </c>
      <c r="I165" s="12" t="s">
        <v>37</v>
      </c>
      <c r="J165" s="4" t="n">
        <v>0</v>
      </c>
      <c r="K165" s="7" t="n">
        <v>24500</v>
      </c>
      <c r="L165" s="8" t="n">
        <v>0</v>
      </c>
      <c r="M165" s="7" t="n">
        <v>24500</v>
      </c>
      <c r="N165" s="7"/>
      <c r="O165" s="9" t="n">
        <f aca="false">IF(AND(N(G165)&gt;0,N(M165)&gt;0),G165/M165,"")</f>
        <v>0.142857142857143</v>
      </c>
      <c r="P165" s="7" t="n">
        <v>24500</v>
      </c>
      <c r="Q165" s="7" t="n">
        <v>24500</v>
      </c>
      <c r="R165" s="4" t="s">
        <v>65</v>
      </c>
      <c r="S165" s="7"/>
      <c r="T165" s="7"/>
      <c r="U165" s="7"/>
      <c r="V165" s="7"/>
      <c r="W165" s="10" t="s">
        <v>31</v>
      </c>
      <c r="X165" s="10" t="s">
        <v>31</v>
      </c>
    </row>
    <row r="166" customFormat="false" ht="15" hidden="false" customHeight="true" outlineLevel="0" collapsed="false">
      <c r="A166" s="3" t="s">
        <v>585</v>
      </c>
      <c r="B166" s="3" t="s">
        <v>586</v>
      </c>
      <c r="C166" s="3" t="s">
        <v>587</v>
      </c>
      <c r="D166" s="4"/>
      <c r="E166" s="4" t="s">
        <v>588</v>
      </c>
      <c r="F166" s="4" t="s">
        <v>72</v>
      </c>
      <c r="G166" s="11" t="n">
        <v>1400</v>
      </c>
      <c r="H166" s="12" t="s">
        <v>36</v>
      </c>
      <c r="I166" s="12" t="s">
        <v>37</v>
      </c>
      <c r="J166" s="4" t="n">
        <v>0</v>
      </c>
      <c r="K166" s="7" t="n">
        <v>9600</v>
      </c>
      <c r="L166" s="8" t="n">
        <v>0</v>
      </c>
      <c r="M166" s="7" t="n">
        <v>9600</v>
      </c>
      <c r="N166" s="7"/>
      <c r="O166" s="9" t="n">
        <f aca="false">IF(AND(N(G166)&gt;0,N(M166)&gt;0),G166/M166,"")</f>
        <v>0.145833333333333</v>
      </c>
      <c r="P166" s="7" t="n">
        <v>9600</v>
      </c>
      <c r="Q166" s="7" t="n">
        <v>9600</v>
      </c>
      <c r="R166" s="4" t="s">
        <v>65</v>
      </c>
      <c r="S166" s="7"/>
      <c r="T166" s="7"/>
      <c r="U166" s="7"/>
      <c r="V166" s="7"/>
      <c r="W166" s="10" t="s">
        <v>31</v>
      </c>
      <c r="X166" s="10" t="s">
        <v>31</v>
      </c>
    </row>
    <row r="167" customFormat="false" ht="15" hidden="false" customHeight="true" outlineLevel="0" collapsed="false">
      <c r="A167" s="3" t="s">
        <v>589</v>
      </c>
      <c r="B167" s="3" t="s">
        <v>590</v>
      </c>
      <c r="C167" s="3" t="s">
        <v>591</v>
      </c>
      <c r="D167" s="4"/>
      <c r="E167" s="4" t="s">
        <v>592</v>
      </c>
      <c r="F167" s="4" t="s">
        <v>72</v>
      </c>
      <c r="G167" s="11" t="n">
        <v>1150</v>
      </c>
      <c r="H167" s="12" t="s">
        <v>36</v>
      </c>
      <c r="I167" s="12" t="s">
        <v>37</v>
      </c>
      <c r="J167" s="4" t="n">
        <v>0</v>
      </c>
      <c r="K167" s="7" t="n">
        <v>7800</v>
      </c>
      <c r="L167" s="8" t="n">
        <v>0</v>
      </c>
      <c r="M167" s="7" t="n">
        <v>7800</v>
      </c>
      <c r="N167" s="7"/>
      <c r="O167" s="9" t="n">
        <f aca="false">IF(AND(N(G167)&gt;0,N(M167)&gt;0),G167/M167,"")</f>
        <v>0.147435897435897</v>
      </c>
      <c r="P167" s="7" t="n">
        <v>7800</v>
      </c>
      <c r="Q167" s="7" t="n">
        <v>7800</v>
      </c>
      <c r="R167" s="4" t="s">
        <v>65</v>
      </c>
      <c r="S167" s="7"/>
      <c r="T167" s="7"/>
      <c r="U167" s="7"/>
      <c r="V167" s="7"/>
      <c r="W167" s="10" t="s">
        <v>31</v>
      </c>
      <c r="X167" s="10" t="s">
        <v>31</v>
      </c>
    </row>
    <row r="168" customFormat="false" ht="15" hidden="false" customHeight="true" outlineLevel="0" collapsed="false">
      <c r="A168" s="3" t="s">
        <v>593</v>
      </c>
      <c r="B168" s="3" t="s">
        <v>594</v>
      </c>
      <c r="C168" s="3" t="s">
        <v>595</v>
      </c>
      <c r="D168" s="4"/>
      <c r="E168" s="4" t="s">
        <v>596</v>
      </c>
      <c r="F168" s="4" t="s">
        <v>72</v>
      </c>
      <c r="G168" s="11" t="n">
        <v>600</v>
      </c>
      <c r="H168" s="12" t="s">
        <v>36</v>
      </c>
      <c r="I168" s="12" t="s">
        <v>37</v>
      </c>
      <c r="J168" s="4" t="n">
        <v>0</v>
      </c>
      <c r="K168" s="7" t="n">
        <v>7440</v>
      </c>
      <c r="L168" s="8" t="n">
        <v>0</v>
      </c>
      <c r="M168" s="7" t="n">
        <v>7440</v>
      </c>
      <c r="N168" s="7"/>
      <c r="O168" s="9" t="n">
        <f aca="false">IF(AND(N(G168)&gt;0,N(M168)&gt;0),G168/M168,"")</f>
        <v>0.0806451612903226</v>
      </c>
      <c r="P168" s="7" t="n">
        <v>7440</v>
      </c>
      <c r="Q168" s="7" t="n">
        <v>7440</v>
      </c>
      <c r="R168" s="4" t="s">
        <v>65</v>
      </c>
      <c r="S168" s="7"/>
      <c r="T168" s="7"/>
      <c r="U168" s="7"/>
      <c r="V168" s="7"/>
      <c r="W168" s="10" t="s">
        <v>31</v>
      </c>
      <c r="X168" s="10" t="s">
        <v>31</v>
      </c>
    </row>
    <row r="169" customFormat="false" ht="15" hidden="false" customHeight="true" outlineLevel="0" collapsed="false">
      <c r="A169" s="3" t="s">
        <v>597</v>
      </c>
      <c r="B169" s="3" t="s">
        <v>598</v>
      </c>
      <c r="C169" s="3" t="s">
        <v>599</v>
      </c>
      <c r="D169" s="4"/>
      <c r="E169" s="4" t="s">
        <v>600</v>
      </c>
      <c r="F169" s="4" t="s">
        <v>72</v>
      </c>
      <c r="G169" s="11" t="n">
        <v>9000</v>
      </c>
      <c r="H169" s="12" t="s">
        <v>36</v>
      </c>
      <c r="I169" s="12" t="s">
        <v>37</v>
      </c>
      <c r="J169" s="4" t="n">
        <v>0</v>
      </c>
      <c r="K169" s="7" t="n">
        <v>52500</v>
      </c>
      <c r="L169" s="8" t="n">
        <v>0</v>
      </c>
      <c r="M169" s="7" t="n">
        <v>52500</v>
      </c>
      <c r="N169" s="7"/>
      <c r="O169" s="9" t="n">
        <f aca="false">IF(AND(N(G169)&gt;0,N(M169)&gt;0),G169/M169,"")</f>
        <v>0.171428571428571</v>
      </c>
      <c r="P169" s="7" t="n">
        <v>52500</v>
      </c>
      <c r="Q169" s="7" t="n">
        <v>52500</v>
      </c>
      <c r="R169" s="4" t="s">
        <v>65</v>
      </c>
      <c r="S169" s="7"/>
      <c r="T169" s="7"/>
      <c r="U169" s="7"/>
      <c r="V169" s="7"/>
      <c r="W169" s="10" t="s">
        <v>31</v>
      </c>
      <c r="X169" s="10" t="s">
        <v>31</v>
      </c>
    </row>
    <row r="170" customFormat="false" ht="15" hidden="false" customHeight="true" outlineLevel="0" collapsed="false">
      <c r="A170" s="3" t="s">
        <v>601</v>
      </c>
      <c r="B170" s="3" t="s">
        <v>602</v>
      </c>
      <c r="C170" s="3" t="s">
        <v>603</v>
      </c>
      <c r="D170" s="4"/>
      <c r="E170" s="4" t="s">
        <v>604</v>
      </c>
      <c r="F170" s="4" t="s">
        <v>72</v>
      </c>
      <c r="G170" s="11" t="n">
        <v>3500</v>
      </c>
      <c r="H170" s="12" t="s">
        <v>36</v>
      </c>
      <c r="I170" s="12" t="s">
        <v>37</v>
      </c>
      <c r="J170" s="4" t="n">
        <v>0</v>
      </c>
      <c r="K170" s="7" t="n">
        <v>15000</v>
      </c>
      <c r="L170" s="8" t="n">
        <v>0</v>
      </c>
      <c r="M170" s="7" t="n">
        <v>15000</v>
      </c>
      <c r="N170" s="7"/>
      <c r="O170" s="9" t="n">
        <f aca="false">IF(AND(N(G170)&gt;0,N(M170)&gt;0),G170/M170,"")</f>
        <v>0.233333333333333</v>
      </c>
      <c r="P170" s="7" t="n">
        <v>15000</v>
      </c>
      <c r="Q170" s="7" t="n">
        <v>15000</v>
      </c>
      <c r="R170" s="4" t="s">
        <v>65</v>
      </c>
      <c r="S170" s="7"/>
      <c r="T170" s="7"/>
      <c r="U170" s="7"/>
      <c r="V170" s="7"/>
      <c r="W170" s="10" t="s">
        <v>31</v>
      </c>
      <c r="X170" s="10" t="s">
        <v>31</v>
      </c>
    </row>
    <row r="171" customFormat="false" ht="15" hidden="false" customHeight="true" outlineLevel="0" collapsed="false">
      <c r="A171" s="3" t="s">
        <v>605</v>
      </c>
      <c r="B171" s="3" t="s">
        <v>606</v>
      </c>
      <c r="C171" s="3" t="s">
        <v>607</v>
      </c>
      <c r="D171" s="4"/>
      <c r="E171" s="4" t="s">
        <v>608</v>
      </c>
      <c r="F171" s="4" t="s">
        <v>72</v>
      </c>
      <c r="G171" s="5"/>
      <c r="H171" s="6"/>
      <c r="I171" s="6"/>
      <c r="J171" s="4" t="n">
        <v>0</v>
      </c>
      <c r="K171" s="7" t="n">
        <v>8200</v>
      </c>
      <c r="L171" s="8" t="n">
        <v>0</v>
      </c>
      <c r="M171" s="7" t="n">
        <v>8200</v>
      </c>
      <c r="N171" s="7"/>
      <c r="O171" s="9" t="str">
        <f aca="false">IF(AND(N(G171)&gt;0,N(M171)&gt;0),G171/M171,"")</f>
        <v/>
      </c>
      <c r="P171" s="7" t="n">
        <v>8200</v>
      </c>
      <c r="Q171" s="7" t="n">
        <v>8200</v>
      </c>
      <c r="R171" s="4" t="s">
        <v>65</v>
      </c>
      <c r="S171" s="7"/>
      <c r="T171" s="7"/>
      <c r="U171" s="7"/>
      <c r="V171" s="7"/>
      <c r="W171" s="10" t="s">
        <v>31</v>
      </c>
      <c r="X171" s="10" t="s">
        <v>31</v>
      </c>
    </row>
    <row r="172" customFormat="false" ht="15" hidden="false" customHeight="true" outlineLevel="0" collapsed="false">
      <c r="A172" s="3" t="s">
        <v>609</v>
      </c>
      <c r="B172" s="3" t="s">
        <v>610</v>
      </c>
      <c r="C172" s="3" t="s">
        <v>611</v>
      </c>
      <c r="D172" s="4"/>
      <c r="E172" s="4" t="s">
        <v>608</v>
      </c>
      <c r="F172" s="4" t="s">
        <v>72</v>
      </c>
      <c r="G172" s="5"/>
      <c r="H172" s="6"/>
      <c r="I172" s="6"/>
      <c r="J172" s="4" t="n">
        <v>0</v>
      </c>
      <c r="K172" s="7" t="n">
        <v>9000</v>
      </c>
      <c r="L172" s="8" t="n">
        <v>0</v>
      </c>
      <c r="M172" s="7" t="n">
        <v>9000</v>
      </c>
      <c r="N172" s="7"/>
      <c r="O172" s="9" t="str">
        <f aca="false">IF(AND(N(G172)&gt;0,N(M172)&gt;0),G172/M172,"")</f>
        <v/>
      </c>
      <c r="P172" s="7" t="n">
        <v>9000</v>
      </c>
      <c r="Q172" s="7" t="n">
        <v>9000</v>
      </c>
      <c r="R172" s="4" t="s">
        <v>65</v>
      </c>
      <c r="S172" s="7"/>
      <c r="T172" s="7"/>
      <c r="U172" s="7"/>
      <c r="V172" s="7"/>
      <c r="W172" s="10" t="s">
        <v>31</v>
      </c>
      <c r="X172" s="10" t="s">
        <v>31</v>
      </c>
    </row>
    <row r="173" customFormat="false" ht="15" hidden="false" customHeight="true" outlineLevel="0" collapsed="false">
      <c r="A173" s="3" t="s">
        <v>612</v>
      </c>
      <c r="B173" s="3" t="s">
        <v>613</v>
      </c>
      <c r="C173" s="3" t="s">
        <v>614</v>
      </c>
      <c r="D173" s="4"/>
      <c r="E173" s="4" t="s">
        <v>608</v>
      </c>
      <c r="F173" s="4" t="s">
        <v>72</v>
      </c>
      <c r="G173" s="5"/>
      <c r="H173" s="6"/>
      <c r="I173" s="6"/>
      <c r="J173" s="4" t="n">
        <v>0</v>
      </c>
      <c r="K173" s="7" t="n">
        <v>18600</v>
      </c>
      <c r="L173" s="8" t="n">
        <v>0</v>
      </c>
      <c r="M173" s="7" t="n">
        <v>18600</v>
      </c>
      <c r="N173" s="7"/>
      <c r="O173" s="9" t="str">
        <f aca="false">IF(AND(N(G173)&gt;0,N(M173)&gt;0),G173/M173,"")</f>
        <v/>
      </c>
      <c r="P173" s="7" t="n">
        <v>18600</v>
      </c>
      <c r="Q173" s="7" t="n">
        <v>18600</v>
      </c>
      <c r="R173" s="4" t="s">
        <v>65</v>
      </c>
      <c r="S173" s="7"/>
      <c r="T173" s="7"/>
      <c r="U173" s="7"/>
      <c r="V173" s="7"/>
      <c r="W173" s="10" t="s">
        <v>31</v>
      </c>
      <c r="X173" s="10" t="s">
        <v>31</v>
      </c>
    </row>
    <row r="174" customFormat="false" ht="15" hidden="false" customHeight="true" outlineLevel="0" collapsed="false">
      <c r="A174" s="3" t="s">
        <v>615</v>
      </c>
      <c r="B174" s="3" t="s">
        <v>616</v>
      </c>
      <c r="C174" s="3" t="s">
        <v>617</v>
      </c>
      <c r="D174" s="4"/>
      <c r="E174" s="4" t="s">
        <v>608</v>
      </c>
      <c r="F174" s="4" t="s">
        <v>72</v>
      </c>
      <c r="G174" s="5"/>
      <c r="H174" s="6"/>
      <c r="I174" s="6"/>
      <c r="J174" s="4" t="n">
        <v>0</v>
      </c>
      <c r="K174" s="7" t="n">
        <v>17400</v>
      </c>
      <c r="L174" s="8" t="n">
        <v>0</v>
      </c>
      <c r="M174" s="7" t="n">
        <v>17400</v>
      </c>
      <c r="N174" s="7"/>
      <c r="O174" s="9" t="str">
        <f aca="false">IF(AND(N(G174)&gt;0,N(M174)&gt;0),G174/M174,"")</f>
        <v/>
      </c>
      <c r="P174" s="7" t="n">
        <v>17400</v>
      </c>
      <c r="Q174" s="7" t="n">
        <v>17400</v>
      </c>
      <c r="R174" s="4" t="s">
        <v>65</v>
      </c>
      <c r="S174" s="7"/>
      <c r="T174" s="7"/>
      <c r="U174" s="7"/>
      <c r="V174" s="7"/>
      <c r="W174" s="10" t="s">
        <v>31</v>
      </c>
      <c r="X174" s="10" t="s">
        <v>31</v>
      </c>
    </row>
    <row r="175" customFormat="false" ht="15" hidden="false" customHeight="true" outlineLevel="0" collapsed="false">
      <c r="A175" s="3" t="s">
        <v>618</v>
      </c>
      <c r="B175" s="3" t="s">
        <v>619</v>
      </c>
      <c r="C175" s="3" t="s">
        <v>620</v>
      </c>
      <c r="D175" s="4"/>
      <c r="E175" s="4" t="s">
        <v>621</v>
      </c>
      <c r="F175" s="4" t="s">
        <v>72</v>
      </c>
      <c r="G175" s="11" t="n">
        <v>600</v>
      </c>
      <c r="H175" s="12" t="s">
        <v>36</v>
      </c>
      <c r="I175" s="12" t="s">
        <v>37</v>
      </c>
      <c r="J175" s="4" t="n">
        <v>0</v>
      </c>
      <c r="K175" s="7" t="n">
        <v>6700</v>
      </c>
      <c r="L175" s="8" t="n">
        <v>0</v>
      </c>
      <c r="M175" s="7" t="n">
        <v>6700</v>
      </c>
      <c r="N175" s="7"/>
      <c r="O175" s="9" t="n">
        <f aca="false">IF(AND(N(G175)&gt;0,N(M175)&gt;0),G175/M175,"")</f>
        <v>0.0895522388059701</v>
      </c>
      <c r="P175" s="7" t="n">
        <v>6700</v>
      </c>
      <c r="Q175" s="7" t="n">
        <v>6700</v>
      </c>
      <c r="R175" s="4" t="s">
        <v>65</v>
      </c>
      <c r="S175" s="7"/>
      <c r="T175" s="7"/>
      <c r="U175" s="7"/>
      <c r="V175" s="7"/>
      <c r="W175" s="10" t="s">
        <v>31</v>
      </c>
      <c r="X175" s="10" t="s">
        <v>31</v>
      </c>
    </row>
    <row r="176" customFormat="false" ht="15" hidden="false" customHeight="true" outlineLevel="0" collapsed="false">
      <c r="A176" s="3" t="s">
        <v>622</v>
      </c>
      <c r="B176" s="3" t="s">
        <v>623</v>
      </c>
      <c r="C176" s="3" t="s">
        <v>624</v>
      </c>
      <c r="D176" s="4"/>
      <c r="E176" s="4" t="s">
        <v>625</v>
      </c>
      <c r="F176" s="4" t="s">
        <v>72</v>
      </c>
      <c r="G176" s="11" t="n">
        <v>1250</v>
      </c>
      <c r="H176" s="12" t="s">
        <v>36</v>
      </c>
      <c r="I176" s="12" t="s">
        <v>37</v>
      </c>
      <c r="J176" s="4" t="n">
        <v>0</v>
      </c>
      <c r="K176" s="7" t="n">
        <v>15300</v>
      </c>
      <c r="L176" s="8" t="n">
        <v>0</v>
      </c>
      <c r="M176" s="7" t="n">
        <v>15300</v>
      </c>
      <c r="N176" s="7"/>
      <c r="O176" s="9" t="n">
        <f aca="false">IF(AND(N(G176)&gt;0,N(M176)&gt;0),G176/M176,"")</f>
        <v>0.0816993464052288</v>
      </c>
      <c r="P176" s="7" t="n">
        <v>15300</v>
      </c>
      <c r="Q176" s="7" t="n">
        <v>15300</v>
      </c>
      <c r="R176" s="4" t="s">
        <v>65</v>
      </c>
      <c r="S176" s="7"/>
      <c r="T176" s="7"/>
      <c r="U176" s="7"/>
      <c r="V176" s="7"/>
      <c r="W176" s="10" t="s">
        <v>31</v>
      </c>
      <c r="X176" s="10" t="s">
        <v>31</v>
      </c>
    </row>
    <row r="177" customFormat="false" ht="15" hidden="false" customHeight="true" outlineLevel="0" collapsed="false">
      <c r="A177" s="3" t="s">
        <v>626</v>
      </c>
      <c r="B177" s="3" t="s">
        <v>627</v>
      </c>
      <c r="C177" s="3" t="s">
        <v>628</v>
      </c>
      <c r="D177" s="4"/>
      <c r="E177" s="4" t="s">
        <v>629</v>
      </c>
      <c r="F177" s="4" t="s">
        <v>72</v>
      </c>
      <c r="G177" s="11" t="n">
        <v>1400</v>
      </c>
      <c r="H177" s="12" t="s">
        <v>36</v>
      </c>
      <c r="I177" s="12" t="s">
        <v>37</v>
      </c>
      <c r="J177" s="4" t="n">
        <v>0</v>
      </c>
      <c r="K177" s="7" t="n">
        <v>17500</v>
      </c>
      <c r="L177" s="8" t="n">
        <v>0</v>
      </c>
      <c r="M177" s="7" t="n">
        <v>17500</v>
      </c>
      <c r="N177" s="7"/>
      <c r="O177" s="9" t="n">
        <f aca="false">IF(AND(N(G177)&gt;0,N(M177)&gt;0),G177/M177,"")</f>
        <v>0.08</v>
      </c>
      <c r="P177" s="7" t="n">
        <v>17500</v>
      </c>
      <c r="Q177" s="7" t="n">
        <v>17500</v>
      </c>
      <c r="R177" s="4" t="s">
        <v>65</v>
      </c>
      <c r="S177" s="7"/>
      <c r="T177" s="7"/>
      <c r="U177" s="7"/>
      <c r="V177" s="7"/>
      <c r="W177" s="10" t="s">
        <v>31</v>
      </c>
      <c r="X177" s="10" t="s">
        <v>31</v>
      </c>
    </row>
    <row r="178" customFormat="false" ht="15" hidden="false" customHeight="true" outlineLevel="0" collapsed="false">
      <c r="A178" s="3" t="s">
        <v>630</v>
      </c>
      <c r="B178" s="3" t="s">
        <v>631</v>
      </c>
      <c r="C178" s="3" t="s">
        <v>632</v>
      </c>
      <c r="D178" s="4"/>
      <c r="E178" s="4" t="s">
        <v>633</v>
      </c>
      <c r="F178" s="4" t="s">
        <v>72</v>
      </c>
      <c r="G178" s="11" t="n">
        <v>2600</v>
      </c>
      <c r="H178" s="12" t="s">
        <v>36</v>
      </c>
      <c r="I178" s="12" t="s">
        <v>37</v>
      </c>
      <c r="J178" s="4" t="n">
        <v>0</v>
      </c>
      <c r="K178" s="7" t="n">
        <v>14400</v>
      </c>
      <c r="L178" s="8" t="n">
        <v>0</v>
      </c>
      <c r="M178" s="7" t="n">
        <v>14400</v>
      </c>
      <c r="N178" s="7"/>
      <c r="O178" s="9" t="n">
        <f aca="false">IF(AND(N(G178)&gt;0,N(M178)&gt;0),G178/M178,"")</f>
        <v>0.180555555555556</v>
      </c>
      <c r="P178" s="7" t="n">
        <v>14400</v>
      </c>
      <c r="Q178" s="7" t="n">
        <v>14400</v>
      </c>
      <c r="R178" s="4" t="s">
        <v>65</v>
      </c>
      <c r="S178" s="7"/>
      <c r="T178" s="7"/>
      <c r="U178" s="7"/>
      <c r="V178" s="7"/>
      <c r="W178" s="10" t="s">
        <v>31</v>
      </c>
      <c r="X178" s="10" t="s">
        <v>31</v>
      </c>
    </row>
    <row r="179" customFormat="false" ht="15" hidden="false" customHeight="true" outlineLevel="0" collapsed="false">
      <c r="A179" s="3" t="s">
        <v>634</v>
      </c>
      <c r="B179" s="3" t="s">
        <v>635</v>
      </c>
      <c r="C179" s="3" t="s">
        <v>636</v>
      </c>
      <c r="D179" s="4"/>
      <c r="E179" s="4" t="s">
        <v>637</v>
      </c>
      <c r="F179" s="4" t="s">
        <v>72</v>
      </c>
      <c r="G179" s="11" t="n">
        <v>3900</v>
      </c>
      <c r="H179" s="12" t="s">
        <v>36</v>
      </c>
      <c r="I179" s="12" t="s">
        <v>37</v>
      </c>
      <c r="J179" s="4" t="n">
        <v>0</v>
      </c>
      <c r="K179" s="7" t="n">
        <v>26400</v>
      </c>
      <c r="L179" s="8" t="n">
        <v>0</v>
      </c>
      <c r="M179" s="7" t="n">
        <v>26400</v>
      </c>
      <c r="N179" s="7"/>
      <c r="O179" s="9" t="n">
        <f aca="false">IF(AND(N(G179)&gt;0,N(M179)&gt;0),G179/M179,"")</f>
        <v>0.147727272727273</v>
      </c>
      <c r="P179" s="7" t="n">
        <v>26400</v>
      </c>
      <c r="Q179" s="7" t="n">
        <v>26400</v>
      </c>
      <c r="R179" s="4" t="s">
        <v>65</v>
      </c>
      <c r="S179" s="7"/>
      <c r="T179" s="7"/>
      <c r="U179" s="7"/>
      <c r="V179" s="7"/>
      <c r="W179" s="10" t="s">
        <v>31</v>
      </c>
      <c r="X179" s="10" t="s">
        <v>31</v>
      </c>
    </row>
    <row r="180" customFormat="false" ht="15" hidden="false" customHeight="true" outlineLevel="0" collapsed="false">
      <c r="A180" s="3" t="s">
        <v>638</v>
      </c>
      <c r="B180" s="3" t="s">
        <v>639</v>
      </c>
      <c r="C180" s="3" t="s">
        <v>640</v>
      </c>
      <c r="D180" s="4"/>
      <c r="E180" s="4" t="s">
        <v>641</v>
      </c>
      <c r="F180" s="4" t="s">
        <v>72</v>
      </c>
      <c r="G180" s="11" t="n">
        <v>2000</v>
      </c>
      <c r="H180" s="12" t="s">
        <v>36</v>
      </c>
      <c r="I180" s="12" t="s">
        <v>37</v>
      </c>
      <c r="J180" s="4" t="n">
        <v>0</v>
      </c>
      <c r="K180" s="7" t="n">
        <v>18000</v>
      </c>
      <c r="L180" s="8" t="n">
        <v>0</v>
      </c>
      <c r="M180" s="7" t="n">
        <v>18000</v>
      </c>
      <c r="N180" s="7"/>
      <c r="O180" s="9" t="n">
        <f aca="false">IF(AND(N(G180)&gt;0,N(M180)&gt;0),G180/M180,"")</f>
        <v>0.111111111111111</v>
      </c>
      <c r="P180" s="7" t="n">
        <v>18000</v>
      </c>
      <c r="Q180" s="7" t="n">
        <v>18000</v>
      </c>
      <c r="R180" s="4" t="s">
        <v>65</v>
      </c>
      <c r="S180" s="7"/>
      <c r="T180" s="7"/>
      <c r="U180" s="7"/>
      <c r="V180" s="7"/>
      <c r="W180" s="10" t="s">
        <v>31</v>
      </c>
      <c r="X180" s="10" t="s">
        <v>31</v>
      </c>
    </row>
    <row r="181" customFormat="false" ht="15" hidden="false" customHeight="true" outlineLevel="0" collapsed="false">
      <c r="A181" s="3" t="s">
        <v>642</v>
      </c>
      <c r="B181" s="3" t="s">
        <v>643</v>
      </c>
      <c r="C181" s="3" t="s">
        <v>644</v>
      </c>
      <c r="D181" s="4"/>
      <c r="E181" s="4" t="s">
        <v>645</v>
      </c>
      <c r="F181" s="4" t="s">
        <v>72</v>
      </c>
      <c r="G181" s="5"/>
      <c r="H181" s="6"/>
      <c r="I181" s="6"/>
      <c r="J181" s="4" t="n">
        <v>0</v>
      </c>
      <c r="K181" s="7" t="n">
        <v>22250</v>
      </c>
      <c r="L181" s="8" t="n">
        <v>0</v>
      </c>
      <c r="M181" s="7" t="n">
        <v>22250</v>
      </c>
      <c r="N181" s="7"/>
      <c r="O181" s="9" t="str">
        <f aca="false">IF(AND(N(G181)&gt;0,N(M181)&gt;0),G181/M181,"")</f>
        <v/>
      </c>
      <c r="P181" s="7" t="n">
        <v>22250</v>
      </c>
      <c r="Q181" s="7" t="n">
        <v>22250</v>
      </c>
      <c r="R181" s="4" t="s">
        <v>65</v>
      </c>
      <c r="S181" s="7"/>
      <c r="T181" s="7"/>
      <c r="U181" s="7"/>
      <c r="V181" s="7"/>
      <c r="W181" s="10" t="s">
        <v>31</v>
      </c>
      <c r="X181" s="10" t="s">
        <v>31</v>
      </c>
    </row>
    <row r="182" customFormat="false" ht="15" hidden="false" customHeight="true" outlineLevel="0" collapsed="false">
      <c r="A182" s="3" t="s">
        <v>646</v>
      </c>
      <c r="B182" s="3" t="s">
        <v>647</v>
      </c>
      <c r="C182" s="3" t="s">
        <v>648</v>
      </c>
      <c r="D182" s="4"/>
      <c r="E182" s="4" t="s">
        <v>645</v>
      </c>
      <c r="F182" s="4" t="s">
        <v>72</v>
      </c>
      <c r="G182" s="5"/>
      <c r="H182" s="6"/>
      <c r="I182" s="6"/>
      <c r="J182" s="4" t="n">
        <v>0</v>
      </c>
      <c r="K182" s="7" t="n">
        <v>18700</v>
      </c>
      <c r="L182" s="8" t="n">
        <v>0</v>
      </c>
      <c r="M182" s="7" t="n">
        <v>18700</v>
      </c>
      <c r="N182" s="7"/>
      <c r="O182" s="9" t="str">
        <f aca="false">IF(AND(N(G182)&gt;0,N(M182)&gt;0),G182/M182,"")</f>
        <v/>
      </c>
      <c r="P182" s="7" t="n">
        <v>18700</v>
      </c>
      <c r="Q182" s="7" t="n">
        <v>18700</v>
      </c>
      <c r="R182" s="4" t="s">
        <v>65</v>
      </c>
      <c r="S182" s="7"/>
      <c r="T182" s="7"/>
      <c r="U182" s="7"/>
      <c r="V182" s="7"/>
      <c r="W182" s="10" t="s">
        <v>31</v>
      </c>
      <c r="X182" s="10" t="s">
        <v>31</v>
      </c>
    </row>
    <row r="183" customFormat="false" ht="15" hidden="false" customHeight="true" outlineLevel="0" collapsed="false">
      <c r="A183" s="3" t="s">
        <v>649</v>
      </c>
      <c r="B183" s="3" t="s">
        <v>650</v>
      </c>
      <c r="C183" s="3" t="s">
        <v>651</v>
      </c>
      <c r="D183" s="4"/>
      <c r="E183" s="4" t="s">
        <v>645</v>
      </c>
      <c r="F183" s="4" t="s">
        <v>72</v>
      </c>
      <c r="G183" s="5"/>
      <c r="H183" s="6"/>
      <c r="I183" s="6"/>
      <c r="J183" s="4" t="n">
        <v>0</v>
      </c>
      <c r="K183" s="7" t="n">
        <v>7100</v>
      </c>
      <c r="L183" s="8" t="n">
        <v>0</v>
      </c>
      <c r="M183" s="7" t="n">
        <v>7100</v>
      </c>
      <c r="N183" s="7"/>
      <c r="O183" s="9" t="str">
        <f aca="false">IF(AND(N(G183)&gt;0,N(M183)&gt;0),G183/M183,"")</f>
        <v/>
      </c>
      <c r="P183" s="7" t="n">
        <v>7100</v>
      </c>
      <c r="Q183" s="7" t="n">
        <v>7100</v>
      </c>
      <c r="R183" s="4" t="s">
        <v>65</v>
      </c>
      <c r="S183" s="7"/>
      <c r="T183" s="7"/>
      <c r="U183" s="7"/>
      <c r="V183" s="7"/>
      <c r="W183" s="10" t="s">
        <v>31</v>
      </c>
      <c r="X183" s="10" t="s">
        <v>31</v>
      </c>
    </row>
    <row r="184" customFormat="false" ht="15" hidden="false" customHeight="true" outlineLevel="0" collapsed="false">
      <c r="A184" s="3" t="s">
        <v>652</v>
      </c>
      <c r="B184" s="3" t="s">
        <v>653</v>
      </c>
      <c r="C184" s="3" t="s">
        <v>654</v>
      </c>
      <c r="D184" s="4"/>
      <c r="E184" s="4" t="s">
        <v>655</v>
      </c>
      <c r="F184" s="4" t="s">
        <v>72</v>
      </c>
      <c r="G184" s="5"/>
      <c r="H184" s="6"/>
      <c r="I184" s="6"/>
      <c r="J184" s="4" t="n">
        <v>0</v>
      </c>
      <c r="K184" s="7" t="n">
        <v>13400</v>
      </c>
      <c r="L184" s="8" t="n">
        <v>0</v>
      </c>
      <c r="M184" s="7" t="n">
        <v>13400</v>
      </c>
      <c r="N184" s="7"/>
      <c r="O184" s="9" t="str">
        <f aca="false">IF(AND(N(G184)&gt;0,N(M184)&gt;0),G184/M184,"")</f>
        <v/>
      </c>
      <c r="P184" s="7" t="n">
        <v>13400</v>
      </c>
      <c r="Q184" s="7" t="n">
        <v>13400</v>
      </c>
      <c r="R184" s="4" t="s">
        <v>65</v>
      </c>
      <c r="S184" s="7"/>
      <c r="T184" s="7"/>
      <c r="U184" s="7"/>
      <c r="V184" s="7"/>
      <c r="W184" s="10" t="s">
        <v>31</v>
      </c>
      <c r="X184" s="10" t="s">
        <v>31</v>
      </c>
    </row>
    <row r="185" customFormat="false" ht="15" hidden="false" customHeight="true" outlineLevel="0" collapsed="false">
      <c r="A185" s="3" t="s">
        <v>656</v>
      </c>
      <c r="B185" s="3" t="s">
        <v>657</v>
      </c>
      <c r="C185" s="3" t="s">
        <v>658</v>
      </c>
      <c r="D185" s="4"/>
      <c r="E185" s="4" t="s">
        <v>655</v>
      </c>
      <c r="F185" s="4" t="s">
        <v>72</v>
      </c>
      <c r="G185" s="5"/>
      <c r="H185" s="6"/>
      <c r="I185" s="6"/>
      <c r="J185" s="4" t="n">
        <v>0</v>
      </c>
      <c r="K185" s="7" t="n">
        <v>29000</v>
      </c>
      <c r="L185" s="8" t="n">
        <v>0</v>
      </c>
      <c r="M185" s="7" t="n">
        <v>29000</v>
      </c>
      <c r="N185" s="7"/>
      <c r="O185" s="9" t="str">
        <f aca="false">IF(AND(N(G185)&gt;0,N(M185)&gt;0),G185/M185,"")</f>
        <v/>
      </c>
      <c r="P185" s="7" t="n">
        <v>29000</v>
      </c>
      <c r="Q185" s="7" t="n">
        <v>29000</v>
      </c>
      <c r="R185" s="4" t="s">
        <v>65</v>
      </c>
      <c r="S185" s="7"/>
      <c r="T185" s="7"/>
      <c r="U185" s="7"/>
      <c r="V185" s="7"/>
      <c r="W185" s="10" t="s">
        <v>31</v>
      </c>
      <c r="X185" s="10" t="s">
        <v>31</v>
      </c>
    </row>
    <row r="186" customFormat="false" ht="15" hidden="false" customHeight="true" outlineLevel="0" collapsed="false">
      <c r="A186" s="3" t="s">
        <v>659</v>
      </c>
      <c r="B186" s="3" t="s">
        <v>660</v>
      </c>
      <c r="C186" s="3" t="s">
        <v>661</v>
      </c>
      <c r="D186" s="4"/>
      <c r="E186" s="4" t="s">
        <v>655</v>
      </c>
      <c r="F186" s="4" t="s">
        <v>72</v>
      </c>
      <c r="G186" s="11" t="n">
        <v>2800</v>
      </c>
      <c r="H186" s="12" t="s">
        <v>36</v>
      </c>
      <c r="I186" s="12" t="s">
        <v>37</v>
      </c>
      <c r="J186" s="4" t="n">
        <v>0</v>
      </c>
      <c r="K186" s="7" t="n">
        <v>31500</v>
      </c>
      <c r="L186" s="8" t="n">
        <v>0</v>
      </c>
      <c r="M186" s="7" t="n">
        <v>31500</v>
      </c>
      <c r="N186" s="7"/>
      <c r="O186" s="9" t="n">
        <f aca="false">IF(AND(N(G186)&gt;0,N(M186)&gt;0),G186/M186,"")</f>
        <v>0.0888888888888889</v>
      </c>
      <c r="P186" s="7" t="n">
        <v>31500</v>
      </c>
      <c r="Q186" s="7" t="n">
        <v>31500</v>
      </c>
      <c r="R186" s="4" t="s">
        <v>65</v>
      </c>
      <c r="S186" s="7"/>
      <c r="T186" s="7"/>
      <c r="U186" s="7"/>
      <c r="V186" s="7"/>
      <c r="W186" s="10" t="s">
        <v>31</v>
      </c>
      <c r="X186" s="10" t="s">
        <v>31</v>
      </c>
    </row>
    <row r="187" customFormat="false" ht="15" hidden="false" customHeight="true" outlineLevel="0" collapsed="false">
      <c r="A187" s="3" t="s">
        <v>662</v>
      </c>
      <c r="B187" s="3" t="s">
        <v>663</v>
      </c>
      <c r="C187" s="3" t="s">
        <v>664</v>
      </c>
      <c r="D187" s="4"/>
      <c r="E187" s="4" t="s">
        <v>655</v>
      </c>
      <c r="F187" s="4" t="s">
        <v>72</v>
      </c>
      <c r="G187" s="5"/>
      <c r="H187" s="6"/>
      <c r="I187" s="6"/>
      <c r="J187" s="4" t="n">
        <v>0</v>
      </c>
      <c r="K187" s="7" t="n">
        <v>35300</v>
      </c>
      <c r="L187" s="8" t="n">
        <v>0</v>
      </c>
      <c r="M187" s="7" t="n">
        <v>35300</v>
      </c>
      <c r="N187" s="7"/>
      <c r="O187" s="9" t="str">
        <f aca="false">IF(AND(N(G187)&gt;0,N(M187)&gt;0),G187/M187,"")</f>
        <v/>
      </c>
      <c r="P187" s="7" t="n">
        <v>35300</v>
      </c>
      <c r="Q187" s="7" t="n">
        <v>35300</v>
      </c>
      <c r="R187" s="4" t="s">
        <v>65</v>
      </c>
      <c r="S187" s="7"/>
      <c r="T187" s="7"/>
      <c r="U187" s="7"/>
      <c r="V187" s="7"/>
      <c r="W187" s="10" t="s">
        <v>31</v>
      </c>
      <c r="X187" s="10" t="s">
        <v>31</v>
      </c>
    </row>
    <row r="188" customFormat="false" ht="15" hidden="false" customHeight="true" outlineLevel="0" collapsed="false">
      <c r="A188" s="3" t="s">
        <v>665</v>
      </c>
      <c r="B188" s="3" t="s">
        <v>666</v>
      </c>
      <c r="C188" s="3" t="s">
        <v>667</v>
      </c>
      <c r="D188" s="4"/>
      <c r="E188" s="4" t="s">
        <v>668</v>
      </c>
      <c r="F188" s="4" t="s">
        <v>72</v>
      </c>
      <c r="G188" s="5"/>
      <c r="H188" s="6"/>
      <c r="I188" s="6"/>
      <c r="J188" s="4" t="n">
        <v>0</v>
      </c>
      <c r="K188" s="7" t="n">
        <v>52884</v>
      </c>
      <c r="L188" s="8" t="n">
        <v>55</v>
      </c>
      <c r="M188" s="7" t="n">
        <v>23797.8</v>
      </c>
      <c r="N188" s="7"/>
      <c r="O188" s="9" t="str">
        <f aca="false">IF(AND(N(G188)&gt;0,N(M188)&gt;0),G188/M188,"")</f>
        <v/>
      </c>
      <c r="P188" s="7" t="n">
        <v>52884</v>
      </c>
      <c r="Q188" s="7" t="n">
        <v>23798</v>
      </c>
      <c r="R188" s="4" t="s">
        <v>65</v>
      </c>
      <c r="S188" s="7" t="n">
        <v>44390</v>
      </c>
      <c r="T188" s="7" t="n">
        <v>52884</v>
      </c>
      <c r="U188" s="7" t="n">
        <v>44490</v>
      </c>
      <c r="V188" s="7" t="n">
        <v>52884</v>
      </c>
      <c r="W188" s="10" t="s">
        <v>31</v>
      </c>
      <c r="X188" s="10" t="s">
        <v>31</v>
      </c>
    </row>
    <row r="189" customFormat="false" ht="15" hidden="false" customHeight="true" outlineLevel="0" collapsed="false">
      <c r="A189" s="3" t="s">
        <v>669</v>
      </c>
      <c r="B189" s="3" t="s">
        <v>670</v>
      </c>
      <c r="C189" s="3" t="s">
        <v>671</v>
      </c>
      <c r="D189" s="4"/>
      <c r="E189" s="4" t="s">
        <v>672</v>
      </c>
      <c r="F189" s="4" t="s">
        <v>72</v>
      </c>
      <c r="G189" s="5"/>
      <c r="H189" s="6"/>
      <c r="I189" s="6"/>
      <c r="J189" s="4" t="n">
        <v>0</v>
      </c>
      <c r="K189" s="7" t="n">
        <v>54000</v>
      </c>
      <c r="L189" s="8" t="n">
        <v>60</v>
      </c>
      <c r="M189" s="7" t="n">
        <v>21600</v>
      </c>
      <c r="N189" s="7"/>
      <c r="O189" s="9" t="str">
        <f aca="false">IF(AND(N(G189)&gt;0,N(M189)&gt;0),G189/M189,"")</f>
        <v/>
      </c>
      <c r="P189" s="7" t="n">
        <v>54000</v>
      </c>
      <c r="Q189" s="7" t="n">
        <v>21600</v>
      </c>
      <c r="R189" s="4" t="s">
        <v>65</v>
      </c>
      <c r="S189" s="7"/>
      <c r="T189" s="7"/>
      <c r="U189" s="7"/>
      <c r="V189" s="7"/>
      <c r="W189" s="10" t="s">
        <v>31</v>
      </c>
      <c r="X189" s="10" t="s">
        <v>31</v>
      </c>
    </row>
    <row r="190" customFormat="false" ht="15" hidden="false" customHeight="true" outlineLevel="0" collapsed="false">
      <c r="A190" s="3" t="s">
        <v>673</v>
      </c>
      <c r="B190" s="3" t="s">
        <v>674</v>
      </c>
      <c r="C190" s="3" t="s">
        <v>675</v>
      </c>
      <c r="D190" s="4"/>
      <c r="E190" s="4" t="s">
        <v>676</v>
      </c>
      <c r="F190" s="4" t="s">
        <v>72</v>
      </c>
      <c r="G190" s="5"/>
      <c r="H190" s="6"/>
      <c r="I190" s="6"/>
      <c r="J190" s="4" t="n">
        <v>0</v>
      </c>
      <c r="K190" s="7" t="n">
        <v>75000</v>
      </c>
      <c r="L190" s="8" t="n">
        <v>49</v>
      </c>
      <c r="M190" s="7" t="n">
        <v>38250</v>
      </c>
      <c r="N190" s="7"/>
      <c r="O190" s="9" t="str">
        <f aca="false">IF(AND(N(G190)&gt;0,N(M190)&gt;0),G190/M190,"")</f>
        <v/>
      </c>
      <c r="P190" s="7" t="n">
        <v>75000</v>
      </c>
      <c r="Q190" s="7" t="n">
        <v>38250</v>
      </c>
      <c r="R190" s="4" t="s">
        <v>65</v>
      </c>
      <c r="S190" s="7"/>
      <c r="T190" s="7"/>
      <c r="U190" s="7"/>
      <c r="V190" s="7"/>
      <c r="W190" s="10" t="s">
        <v>31</v>
      </c>
      <c r="X190" s="10" t="s">
        <v>31</v>
      </c>
    </row>
    <row r="191" customFormat="false" ht="15" hidden="false" customHeight="true" outlineLevel="0" collapsed="false">
      <c r="A191" s="3" t="s">
        <v>677</v>
      </c>
      <c r="B191" s="3" t="s">
        <v>678</v>
      </c>
      <c r="C191" s="3" t="s">
        <v>679</v>
      </c>
      <c r="D191" s="4"/>
      <c r="E191" s="4" t="s">
        <v>92</v>
      </c>
      <c r="F191" s="4" t="s">
        <v>72</v>
      </c>
      <c r="G191" s="5"/>
      <c r="H191" s="6"/>
      <c r="I191" s="6"/>
      <c r="J191" s="4" t="n">
        <v>0</v>
      </c>
      <c r="K191" s="7" t="n">
        <v>36667</v>
      </c>
      <c r="L191" s="8" t="n">
        <v>10</v>
      </c>
      <c r="M191" s="7" t="n">
        <v>33000.3</v>
      </c>
      <c r="N191" s="7"/>
      <c r="O191" s="9" t="str">
        <f aca="false">IF(AND(N(G191)&gt;0,N(M191)&gt;0),G191/M191,"")</f>
        <v/>
      </c>
      <c r="P191" s="7" t="n">
        <v>36667</v>
      </c>
      <c r="Q191" s="7" t="n">
        <v>33000</v>
      </c>
      <c r="R191" s="4" t="s">
        <v>65</v>
      </c>
      <c r="S191" s="7"/>
      <c r="T191" s="7"/>
      <c r="U191" s="7"/>
      <c r="V191" s="7"/>
      <c r="W191" s="10" t="s">
        <v>31</v>
      </c>
      <c r="X191" s="10" t="s">
        <v>31</v>
      </c>
    </row>
    <row r="192" customFormat="false" ht="15" hidden="false" customHeight="true" outlineLevel="0" collapsed="false">
      <c r="A192" s="3" t="s">
        <v>680</v>
      </c>
      <c r="B192" s="3" t="s">
        <v>681</v>
      </c>
      <c r="C192" s="3" t="s">
        <v>682</v>
      </c>
      <c r="D192" s="4"/>
      <c r="E192" s="4" t="s">
        <v>683</v>
      </c>
      <c r="F192" s="4" t="s">
        <v>72</v>
      </c>
      <c r="G192" s="5"/>
      <c r="H192" s="6"/>
      <c r="I192" s="6"/>
      <c r="J192" s="4" t="n">
        <v>0</v>
      </c>
      <c r="K192" s="7" t="n">
        <v>79800</v>
      </c>
      <c r="L192" s="8" t="n">
        <v>60</v>
      </c>
      <c r="M192" s="7" t="n">
        <v>31920</v>
      </c>
      <c r="N192" s="7"/>
      <c r="O192" s="9" t="str">
        <f aca="false">IF(AND(N(G192)&gt;0,N(M192)&gt;0),G192/M192,"")</f>
        <v/>
      </c>
      <c r="P192" s="7" t="n">
        <v>79800</v>
      </c>
      <c r="Q192" s="7" t="n">
        <v>31920</v>
      </c>
      <c r="R192" s="4" t="s">
        <v>65</v>
      </c>
      <c r="S192" s="7" t="n">
        <v>66190</v>
      </c>
      <c r="T192" s="7" t="n">
        <v>89800</v>
      </c>
      <c r="U192" s="7" t="n">
        <v>66390</v>
      </c>
      <c r="V192" s="7" t="n">
        <v>89800</v>
      </c>
      <c r="W192" s="10" t="s">
        <v>31</v>
      </c>
      <c r="X192" s="10" t="s">
        <v>31</v>
      </c>
    </row>
    <row r="193" customFormat="false" ht="15" hidden="false" customHeight="true" outlineLevel="0" collapsed="false">
      <c r="A193" s="3" t="s">
        <v>684</v>
      </c>
      <c r="B193" s="3" t="s">
        <v>685</v>
      </c>
      <c r="C193" s="3" t="s">
        <v>686</v>
      </c>
      <c r="D193" s="4"/>
      <c r="E193" s="4" t="s">
        <v>687</v>
      </c>
      <c r="F193" s="4" t="s">
        <v>72</v>
      </c>
      <c r="G193" s="11" t="n">
        <v>2600</v>
      </c>
      <c r="H193" s="12" t="s">
        <v>113</v>
      </c>
      <c r="I193" s="12" t="s">
        <v>114</v>
      </c>
      <c r="J193" s="4" t="n">
        <v>0</v>
      </c>
      <c r="K193" s="7" t="n">
        <v>60000</v>
      </c>
      <c r="L193" s="8" t="n">
        <v>28</v>
      </c>
      <c r="M193" s="7" t="n">
        <v>43200</v>
      </c>
      <c r="N193" s="7"/>
      <c r="O193" s="9" t="n">
        <f aca="false">IF(AND(N(G193)&gt;0,N(M193)&gt;0),G193/M193,"")</f>
        <v>0.0601851851851852</v>
      </c>
      <c r="P193" s="7" t="n">
        <v>60000</v>
      </c>
      <c r="Q193" s="7" t="n">
        <v>43200</v>
      </c>
      <c r="R193" s="4" t="s">
        <v>65</v>
      </c>
      <c r="S193" s="7"/>
      <c r="T193" s="7"/>
      <c r="U193" s="7"/>
      <c r="V193" s="7"/>
      <c r="W193" s="10" t="s">
        <v>31</v>
      </c>
      <c r="X193" s="10" t="s">
        <v>31</v>
      </c>
    </row>
    <row r="194" customFormat="false" ht="15" hidden="false" customHeight="true" outlineLevel="0" collapsed="false">
      <c r="A194" s="3" t="s">
        <v>688</v>
      </c>
      <c r="B194" s="3" t="s">
        <v>689</v>
      </c>
      <c r="C194" s="3" t="s">
        <v>690</v>
      </c>
      <c r="D194" s="4"/>
      <c r="E194" s="4" t="s">
        <v>691</v>
      </c>
      <c r="F194" s="4" t="s">
        <v>72</v>
      </c>
      <c r="G194" s="5"/>
      <c r="H194" s="6"/>
      <c r="I194" s="6"/>
      <c r="J194" s="4" t="n">
        <v>0</v>
      </c>
      <c r="K194" s="7" t="n">
        <v>23500</v>
      </c>
      <c r="L194" s="8" t="n">
        <v>0</v>
      </c>
      <c r="M194" s="7" t="n">
        <v>23500</v>
      </c>
      <c r="N194" s="7"/>
      <c r="O194" s="9" t="str">
        <f aca="false">IF(AND(N(G194)&gt;0,N(M194)&gt;0),G194/M194,"")</f>
        <v/>
      </c>
      <c r="P194" s="7" t="n">
        <v>23500</v>
      </c>
      <c r="Q194" s="7" t="n">
        <v>23500</v>
      </c>
      <c r="R194" s="4" t="s">
        <v>65</v>
      </c>
      <c r="S194" s="7"/>
      <c r="T194" s="7"/>
      <c r="U194" s="7"/>
      <c r="V194" s="7"/>
      <c r="W194" s="10" t="s">
        <v>31</v>
      </c>
      <c r="X194" s="10" t="s">
        <v>31</v>
      </c>
    </row>
    <row r="195" customFormat="false" ht="15" hidden="false" customHeight="true" outlineLevel="0" collapsed="false">
      <c r="A195" s="3" t="s">
        <v>692</v>
      </c>
      <c r="B195" s="3" t="s">
        <v>693</v>
      </c>
      <c r="C195" s="3" t="s">
        <v>694</v>
      </c>
      <c r="D195" s="4"/>
      <c r="E195" s="4" t="s">
        <v>695</v>
      </c>
      <c r="F195" s="4" t="s">
        <v>72</v>
      </c>
      <c r="G195" s="11" t="n">
        <v>1150</v>
      </c>
      <c r="H195" s="12" t="s">
        <v>113</v>
      </c>
      <c r="I195" s="12" t="s">
        <v>114</v>
      </c>
      <c r="J195" s="4" t="n">
        <v>0</v>
      </c>
      <c r="K195" s="7" t="n">
        <v>16680</v>
      </c>
      <c r="L195" s="8" t="n">
        <v>0</v>
      </c>
      <c r="M195" s="7" t="n">
        <v>16680</v>
      </c>
      <c r="N195" s="7"/>
      <c r="O195" s="9" t="n">
        <f aca="false">IF(AND(N(G195)&gt;0,N(M195)&gt;0),G195/M195,"")</f>
        <v>0.0689448441247002</v>
      </c>
      <c r="P195" s="7" t="n">
        <v>16680</v>
      </c>
      <c r="Q195" s="7" t="n">
        <v>16680</v>
      </c>
      <c r="R195" s="4" t="s">
        <v>65</v>
      </c>
      <c r="S195" s="7"/>
      <c r="T195" s="7"/>
      <c r="U195" s="7"/>
      <c r="V195" s="7"/>
      <c r="W195" s="10" t="s">
        <v>31</v>
      </c>
      <c r="X195" s="10" t="s">
        <v>31</v>
      </c>
    </row>
    <row r="196" customFormat="false" ht="15" hidden="false" customHeight="true" outlineLevel="0" collapsed="false">
      <c r="A196" s="3" t="s">
        <v>696</v>
      </c>
      <c r="B196" s="3" t="s">
        <v>697</v>
      </c>
      <c r="C196" s="3" t="s">
        <v>698</v>
      </c>
      <c r="D196" s="4"/>
      <c r="E196" s="4" t="s">
        <v>699</v>
      </c>
      <c r="F196" s="4" t="s">
        <v>72</v>
      </c>
      <c r="G196" s="11" t="n">
        <v>1150</v>
      </c>
      <c r="H196" s="12" t="s">
        <v>113</v>
      </c>
      <c r="I196" s="12" t="s">
        <v>114</v>
      </c>
      <c r="J196" s="4" t="n">
        <v>0</v>
      </c>
      <c r="K196" s="7" t="n">
        <v>28625</v>
      </c>
      <c r="L196" s="8" t="n">
        <v>20</v>
      </c>
      <c r="M196" s="7" t="n">
        <v>22900</v>
      </c>
      <c r="N196" s="7"/>
      <c r="O196" s="9" t="n">
        <f aca="false">IF(AND(N(G196)&gt;0,N(M196)&gt;0),G196/M196,"")</f>
        <v>0.0502183406113537</v>
      </c>
      <c r="P196" s="7" t="n">
        <v>28625</v>
      </c>
      <c r="Q196" s="7" t="n">
        <v>22900</v>
      </c>
      <c r="R196" s="4" t="s">
        <v>65</v>
      </c>
      <c r="S196" s="7" t="n">
        <v>21590</v>
      </c>
      <c r="T196" s="7" t="n">
        <v>28625</v>
      </c>
      <c r="U196" s="7" t="n">
        <v>21590</v>
      </c>
      <c r="V196" s="7" t="n">
        <v>28625</v>
      </c>
      <c r="W196" s="10" t="s">
        <v>31</v>
      </c>
      <c r="X196" s="10" t="s">
        <v>31</v>
      </c>
    </row>
    <row r="197" customFormat="false" ht="15" hidden="false" customHeight="true" outlineLevel="0" collapsed="false">
      <c r="A197" s="3" t="s">
        <v>700</v>
      </c>
      <c r="B197" s="3" t="s">
        <v>701</v>
      </c>
      <c r="C197" s="3" t="s">
        <v>702</v>
      </c>
      <c r="D197" s="4"/>
      <c r="E197" s="4" t="s">
        <v>703</v>
      </c>
      <c r="F197" s="4" t="s">
        <v>72</v>
      </c>
      <c r="G197" s="11" t="n">
        <v>1150</v>
      </c>
      <c r="H197" s="12" t="s">
        <v>113</v>
      </c>
      <c r="I197" s="12" t="s">
        <v>114</v>
      </c>
      <c r="J197" s="4" t="n">
        <v>0</v>
      </c>
      <c r="K197" s="7" t="n">
        <v>29375</v>
      </c>
      <c r="L197" s="8" t="n">
        <v>55</v>
      </c>
      <c r="M197" s="7" t="n">
        <v>13218.75</v>
      </c>
      <c r="N197" s="7"/>
      <c r="O197" s="9" t="n">
        <f aca="false">IF(AND(N(G197)&gt;0,N(M197)&gt;0),G197/M197,"")</f>
        <v>0.0869976359338062</v>
      </c>
      <c r="P197" s="7" t="n">
        <v>29375</v>
      </c>
      <c r="Q197" s="7" t="n">
        <v>13219</v>
      </c>
      <c r="R197" s="4" t="s">
        <v>30</v>
      </c>
      <c r="S197" s="7" t="n">
        <v>22090</v>
      </c>
      <c r="T197" s="7" t="n">
        <v>29375</v>
      </c>
      <c r="U197" s="7" t="n">
        <v>22190</v>
      </c>
      <c r="V197" s="7" t="n">
        <v>29375</v>
      </c>
      <c r="W197" s="10" t="s">
        <v>31</v>
      </c>
      <c r="X197" s="10" t="s">
        <v>31</v>
      </c>
    </row>
    <row r="198" customFormat="false" ht="15" hidden="false" customHeight="true" outlineLevel="0" collapsed="false">
      <c r="A198" s="3" t="s">
        <v>704</v>
      </c>
      <c r="B198" s="3" t="s">
        <v>705</v>
      </c>
      <c r="C198" s="3" t="s">
        <v>706</v>
      </c>
      <c r="D198" s="4"/>
      <c r="E198" s="4" t="s">
        <v>707</v>
      </c>
      <c r="F198" s="4" t="s">
        <v>72</v>
      </c>
      <c r="G198" s="5"/>
      <c r="H198" s="6"/>
      <c r="I198" s="6"/>
      <c r="J198" s="4" t="n">
        <v>0</v>
      </c>
      <c r="K198" s="7" t="n">
        <v>23200</v>
      </c>
      <c r="L198" s="8" t="n">
        <v>0</v>
      </c>
      <c r="M198" s="7" t="n">
        <v>23200</v>
      </c>
      <c r="N198" s="7"/>
      <c r="O198" s="9" t="str">
        <f aca="false">IF(AND(N(G198)&gt;0,N(M198)&gt;0),G198/M198,"")</f>
        <v/>
      </c>
      <c r="P198" s="7" t="n">
        <v>23200</v>
      </c>
      <c r="Q198" s="7" t="n">
        <v>23200</v>
      </c>
      <c r="R198" s="4" t="s">
        <v>65</v>
      </c>
      <c r="S198" s="7"/>
      <c r="T198" s="7"/>
      <c r="U198" s="7"/>
      <c r="V198" s="7"/>
      <c r="W198" s="10" t="s">
        <v>31</v>
      </c>
      <c r="X198" s="10" t="s">
        <v>31</v>
      </c>
    </row>
    <row r="199" customFormat="false" ht="15" hidden="false" customHeight="true" outlineLevel="0" collapsed="false">
      <c r="A199" s="3" t="s">
        <v>708</v>
      </c>
      <c r="B199" s="3" t="s">
        <v>709</v>
      </c>
      <c r="C199" s="3" t="s">
        <v>710</v>
      </c>
      <c r="D199" s="4"/>
      <c r="E199" s="4" t="s">
        <v>711</v>
      </c>
      <c r="F199" s="4" t="s">
        <v>72</v>
      </c>
      <c r="G199" s="11" t="n">
        <v>2700</v>
      </c>
      <c r="H199" s="12" t="s">
        <v>36</v>
      </c>
      <c r="I199" s="12" t="s">
        <v>37</v>
      </c>
      <c r="J199" s="4" t="n">
        <v>0</v>
      </c>
      <c r="K199" s="7" t="n">
        <v>16020</v>
      </c>
      <c r="L199" s="8" t="n">
        <v>0</v>
      </c>
      <c r="M199" s="7" t="n">
        <v>16020</v>
      </c>
      <c r="N199" s="7"/>
      <c r="O199" s="9" t="n">
        <f aca="false">IF(AND(N(G199)&gt;0,N(M199)&gt;0),G199/M199,"")</f>
        <v>0.168539325842697</v>
      </c>
      <c r="P199" s="7" t="n">
        <v>16020</v>
      </c>
      <c r="Q199" s="7" t="n">
        <v>16020</v>
      </c>
      <c r="R199" s="4" t="s">
        <v>65</v>
      </c>
      <c r="S199" s="7"/>
      <c r="T199" s="7"/>
      <c r="U199" s="7"/>
      <c r="V199" s="7"/>
      <c r="W199" s="10" t="s">
        <v>31</v>
      </c>
      <c r="X199" s="10" t="s">
        <v>31</v>
      </c>
    </row>
    <row r="200" customFormat="false" ht="15" hidden="false" customHeight="true" outlineLevel="0" collapsed="false">
      <c r="A200" s="3" t="s">
        <v>712</v>
      </c>
      <c r="B200" s="3" t="s">
        <v>713</v>
      </c>
      <c r="C200" s="3" t="s">
        <v>714</v>
      </c>
      <c r="D200" s="4"/>
      <c r="E200" s="4" t="s">
        <v>715</v>
      </c>
      <c r="F200" s="4" t="s">
        <v>72</v>
      </c>
      <c r="G200" s="11" t="n">
        <v>3200</v>
      </c>
      <c r="H200" s="12" t="s">
        <v>36</v>
      </c>
      <c r="I200" s="12" t="s">
        <v>37</v>
      </c>
      <c r="J200" s="4" t="n">
        <v>0</v>
      </c>
      <c r="K200" s="7" t="n">
        <v>22050</v>
      </c>
      <c r="L200" s="8" t="n">
        <v>0</v>
      </c>
      <c r="M200" s="7" t="n">
        <v>22050</v>
      </c>
      <c r="N200" s="7"/>
      <c r="O200" s="9" t="n">
        <f aca="false">IF(AND(N(G200)&gt;0,N(M200)&gt;0),G200/M200,"")</f>
        <v>0.145124716553288</v>
      </c>
      <c r="P200" s="7" t="n">
        <v>22050</v>
      </c>
      <c r="Q200" s="7" t="n">
        <v>22050</v>
      </c>
      <c r="R200" s="4" t="s">
        <v>65</v>
      </c>
      <c r="S200" s="7"/>
      <c r="T200" s="7"/>
      <c r="U200" s="7"/>
      <c r="V200" s="7"/>
      <c r="W200" s="10" t="s">
        <v>31</v>
      </c>
      <c r="X200" s="10" t="s">
        <v>31</v>
      </c>
    </row>
    <row r="201" customFormat="false" ht="15" hidden="false" customHeight="true" outlineLevel="0" collapsed="false">
      <c r="A201" s="3" t="s">
        <v>716</v>
      </c>
      <c r="B201" s="3" t="s">
        <v>717</v>
      </c>
      <c r="C201" s="3" t="s">
        <v>718</v>
      </c>
      <c r="D201" s="4"/>
      <c r="E201" s="4" t="s">
        <v>719</v>
      </c>
      <c r="F201" s="4" t="s">
        <v>72</v>
      </c>
      <c r="G201" s="11" t="n">
        <v>2450</v>
      </c>
      <c r="H201" s="12" t="s">
        <v>113</v>
      </c>
      <c r="I201" s="12" t="s">
        <v>114</v>
      </c>
      <c r="J201" s="4" t="n">
        <v>0</v>
      </c>
      <c r="K201" s="7" t="n">
        <v>56700</v>
      </c>
      <c r="L201" s="8" t="n">
        <v>54</v>
      </c>
      <c r="M201" s="7" t="n">
        <v>26082</v>
      </c>
      <c r="N201" s="7"/>
      <c r="O201" s="9" t="n">
        <f aca="false">IF(AND(N(G201)&gt;0,N(M201)&gt;0),G201/M201,"")</f>
        <v>0.0939345142243693</v>
      </c>
      <c r="P201" s="7" t="n">
        <v>56700</v>
      </c>
      <c r="Q201" s="7" t="n">
        <v>26082</v>
      </c>
      <c r="R201" s="4" t="s">
        <v>65</v>
      </c>
      <c r="S201" s="7"/>
      <c r="T201" s="7"/>
      <c r="U201" s="7"/>
      <c r="V201" s="7"/>
      <c r="W201" s="10" t="s">
        <v>31</v>
      </c>
      <c r="X201" s="10" t="s">
        <v>31</v>
      </c>
    </row>
    <row r="202" customFormat="false" ht="15" hidden="false" customHeight="true" outlineLevel="0" collapsed="false">
      <c r="A202" s="3" t="s">
        <v>720</v>
      </c>
      <c r="B202" s="3" t="s">
        <v>721</v>
      </c>
      <c r="C202" s="3" t="s">
        <v>722</v>
      </c>
      <c r="D202" s="4"/>
      <c r="E202" s="4" t="s">
        <v>723</v>
      </c>
      <c r="F202" s="4" t="s">
        <v>72</v>
      </c>
      <c r="G202" s="5"/>
      <c r="H202" s="6"/>
      <c r="I202" s="6"/>
      <c r="J202" s="4" t="n">
        <v>0</v>
      </c>
      <c r="K202" s="7" t="n">
        <v>17250</v>
      </c>
      <c r="L202" s="8" t="n">
        <v>60</v>
      </c>
      <c r="M202" s="7" t="n">
        <v>6900</v>
      </c>
      <c r="N202" s="7"/>
      <c r="O202" s="9" t="str">
        <f aca="false">IF(AND(N(G202)&gt;0,N(M202)&gt;0),G202/M202,"")</f>
        <v/>
      </c>
      <c r="P202" s="7" t="n">
        <v>17250</v>
      </c>
      <c r="Q202" s="7" t="n">
        <v>6900</v>
      </c>
      <c r="R202" s="4" t="s">
        <v>65</v>
      </c>
      <c r="S202" s="7"/>
      <c r="T202" s="7"/>
      <c r="U202" s="7"/>
      <c r="V202" s="7"/>
      <c r="W202" s="10" t="s">
        <v>31</v>
      </c>
      <c r="X202" s="10" t="s">
        <v>31</v>
      </c>
    </row>
    <row r="203" customFormat="false" ht="15" hidden="false" customHeight="true" outlineLevel="0" collapsed="false">
      <c r="A203" s="3" t="s">
        <v>724</v>
      </c>
      <c r="B203" s="3" t="s">
        <v>725</v>
      </c>
      <c r="C203" s="3" t="s">
        <v>726</v>
      </c>
      <c r="D203" s="4"/>
      <c r="E203" s="4" t="s">
        <v>727</v>
      </c>
      <c r="F203" s="4" t="s">
        <v>72</v>
      </c>
      <c r="G203" s="11" t="n">
        <v>2450</v>
      </c>
      <c r="H203" s="12" t="s">
        <v>113</v>
      </c>
      <c r="I203" s="12" t="s">
        <v>114</v>
      </c>
      <c r="J203" s="4" t="n">
        <v>0</v>
      </c>
      <c r="K203" s="7" t="n">
        <v>18800</v>
      </c>
      <c r="L203" s="8" t="n">
        <v>45</v>
      </c>
      <c r="M203" s="7" t="n">
        <v>10340</v>
      </c>
      <c r="N203" s="7"/>
      <c r="O203" s="9" t="n">
        <f aca="false">IF(AND(N(G203)&gt;0,N(M203)&gt;0),G203/M203,"")</f>
        <v>0.236943907156673</v>
      </c>
      <c r="P203" s="7" t="n">
        <v>18800</v>
      </c>
      <c r="Q203" s="7" t="n">
        <v>10340</v>
      </c>
      <c r="R203" s="4" t="s">
        <v>65</v>
      </c>
      <c r="S203" s="7"/>
      <c r="T203" s="7"/>
      <c r="U203" s="7" t="n">
        <v>14990</v>
      </c>
      <c r="V203" s="7" t="n">
        <v>18800</v>
      </c>
      <c r="W203" s="10" t="s">
        <v>31</v>
      </c>
      <c r="X203" s="10" t="s">
        <v>31</v>
      </c>
    </row>
    <row r="204" customFormat="false" ht="15" hidden="false" customHeight="true" outlineLevel="0" collapsed="false">
      <c r="A204" s="3" t="s">
        <v>728</v>
      </c>
      <c r="B204" s="3" t="s">
        <v>729</v>
      </c>
      <c r="C204" s="3" t="s">
        <v>730</v>
      </c>
      <c r="D204" s="4"/>
      <c r="E204" s="4" t="s">
        <v>731</v>
      </c>
      <c r="F204" s="4" t="s">
        <v>72</v>
      </c>
      <c r="G204" s="5"/>
      <c r="H204" s="6"/>
      <c r="I204" s="6"/>
      <c r="J204" s="4" t="n">
        <v>0</v>
      </c>
      <c r="K204" s="7" t="n">
        <v>5000</v>
      </c>
      <c r="L204" s="8" t="n">
        <v>32</v>
      </c>
      <c r="M204" s="7" t="n">
        <v>3400</v>
      </c>
      <c r="N204" s="7"/>
      <c r="O204" s="9" t="str">
        <f aca="false">IF(AND(N(G204)&gt;0,N(M204)&gt;0),G204/M204,"")</f>
        <v/>
      </c>
      <c r="P204" s="7"/>
      <c r="Q204" s="7"/>
      <c r="R204" s="4" t="s">
        <v>155</v>
      </c>
      <c r="S204" s="7"/>
      <c r="T204" s="7"/>
      <c r="U204" s="7"/>
      <c r="V204" s="7"/>
      <c r="W204" s="10" t="s">
        <v>31</v>
      </c>
      <c r="X204" s="4"/>
    </row>
    <row r="205" customFormat="false" ht="15" hidden="false" customHeight="true" outlineLevel="0" collapsed="false">
      <c r="A205" s="3" t="s">
        <v>732</v>
      </c>
      <c r="B205" s="3" t="s">
        <v>733</v>
      </c>
      <c r="C205" s="3" t="s">
        <v>734</v>
      </c>
      <c r="D205" s="4"/>
      <c r="E205" s="4" t="s">
        <v>735</v>
      </c>
      <c r="F205" s="4" t="s">
        <v>72</v>
      </c>
      <c r="G205" s="5"/>
      <c r="H205" s="6"/>
      <c r="I205" s="6"/>
      <c r="J205" s="4" t="n">
        <v>0</v>
      </c>
      <c r="K205" s="7" t="n">
        <v>5000</v>
      </c>
      <c r="L205" s="8" t="n">
        <v>0</v>
      </c>
      <c r="M205" s="7" t="n">
        <v>5000</v>
      </c>
      <c r="N205" s="7"/>
      <c r="O205" s="9" t="str">
        <f aca="false">IF(AND(N(G205)&gt;0,N(M205)&gt;0),G205/M205,"")</f>
        <v/>
      </c>
      <c r="P205" s="7"/>
      <c r="Q205" s="7"/>
      <c r="R205" s="4" t="s">
        <v>155</v>
      </c>
      <c r="S205" s="7"/>
      <c r="T205" s="7"/>
      <c r="U205" s="7"/>
      <c r="V205" s="7"/>
      <c r="W205" s="10" t="s">
        <v>31</v>
      </c>
      <c r="X205" s="4"/>
    </row>
    <row r="206" customFormat="false" ht="15" hidden="false" customHeight="true" outlineLevel="0" collapsed="false">
      <c r="A206" s="3" t="s">
        <v>736</v>
      </c>
      <c r="B206" s="3" t="s">
        <v>737</v>
      </c>
      <c r="C206" s="3" t="s">
        <v>738</v>
      </c>
      <c r="D206" s="4"/>
      <c r="E206" s="4" t="s">
        <v>739</v>
      </c>
      <c r="F206" s="4" t="s">
        <v>72</v>
      </c>
      <c r="G206" s="11" t="n">
        <v>2450</v>
      </c>
      <c r="H206" s="12" t="s">
        <v>113</v>
      </c>
      <c r="I206" s="12" t="s">
        <v>114</v>
      </c>
      <c r="J206" s="4" t="n">
        <v>0</v>
      </c>
      <c r="K206" s="7" t="n">
        <v>9588</v>
      </c>
      <c r="L206" s="8" t="n">
        <v>0</v>
      </c>
      <c r="M206" s="7" t="n">
        <v>9588</v>
      </c>
      <c r="N206" s="7"/>
      <c r="O206" s="9" t="n">
        <f aca="false">IF(AND(N(G206)&gt;0,N(M206)&gt;0),G206/M206,"")</f>
        <v>0.255527743012098</v>
      </c>
      <c r="P206" s="7" t="n">
        <v>9588</v>
      </c>
      <c r="Q206" s="7" t="n">
        <v>9588</v>
      </c>
      <c r="R206" s="4" t="s">
        <v>65</v>
      </c>
      <c r="S206" s="7"/>
      <c r="T206" s="7"/>
      <c r="U206" s="7"/>
      <c r="V206" s="7"/>
      <c r="W206" s="10" t="s">
        <v>31</v>
      </c>
      <c r="X206" s="10" t="s">
        <v>31</v>
      </c>
    </row>
    <row r="207" customFormat="false" ht="15" hidden="false" customHeight="true" outlineLevel="0" collapsed="false">
      <c r="A207" s="3" t="s">
        <v>740</v>
      </c>
      <c r="B207" s="3" t="s">
        <v>741</v>
      </c>
      <c r="C207" s="3" t="s">
        <v>742</v>
      </c>
      <c r="D207" s="4"/>
      <c r="E207" s="4" t="s">
        <v>743</v>
      </c>
      <c r="F207" s="4" t="s">
        <v>72</v>
      </c>
      <c r="G207" s="11" t="n">
        <v>2450</v>
      </c>
      <c r="H207" s="12" t="s">
        <v>113</v>
      </c>
      <c r="I207" s="12" t="s">
        <v>114</v>
      </c>
      <c r="J207" s="4" t="n">
        <v>0</v>
      </c>
      <c r="K207" s="7" t="n">
        <v>7950</v>
      </c>
      <c r="L207" s="8" t="n">
        <v>50</v>
      </c>
      <c r="M207" s="7" t="n">
        <v>3975</v>
      </c>
      <c r="N207" s="7"/>
      <c r="O207" s="9" t="n">
        <f aca="false">IF(AND(N(G207)&gt;0,N(M207)&gt;0),G207/M207,"")</f>
        <v>0.616352201257862</v>
      </c>
      <c r="P207" s="7" t="n">
        <v>7950</v>
      </c>
      <c r="Q207" s="7" t="n">
        <v>3975</v>
      </c>
      <c r="R207" s="4" t="s">
        <v>65</v>
      </c>
      <c r="S207" s="7"/>
      <c r="T207" s="7"/>
      <c r="U207" s="7"/>
      <c r="V207" s="7"/>
      <c r="W207" s="10" t="s">
        <v>31</v>
      </c>
      <c r="X207" s="10" t="s">
        <v>31</v>
      </c>
    </row>
    <row r="208" customFormat="false" ht="15" hidden="false" customHeight="true" outlineLevel="0" collapsed="false">
      <c r="A208" s="3" t="s">
        <v>744</v>
      </c>
      <c r="B208" s="3" t="s">
        <v>745</v>
      </c>
      <c r="C208" s="3" t="s">
        <v>746</v>
      </c>
      <c r="D208" s="4"/>
      <c r="E208" s="4" t="s">
        <v>743</v>
      </c>
      <c r="F208" s="4" t="s">
        <v>72</v>
      </c>
      <c r="G208" s="5"/>
      <c r="H208" s="6"/>
      <c r="I208" s="6"/>
      <c r="J208" s="4" t="n">
        <v>0</v>
      </c>
      <c r="K208" s="7" t="n">
        <v>5500</v>
      </c>
      <c r="L208" s="8" t="n">
        <v>46</v>
      </c>
      <c r="M208" s="7" t="n">
        <v>2970</v>
      </c>
      <c r="N208" s="7"/>
      <c r="O208" s="9" t="str">
        <f aca="false">IF(AND(N(G208)&gt;0,N(M208)&gt;0),G208/M208,"")</f>
        <v/>
      </c>
      <c r="P208" s="7"/>
      <c r="Q208" s="7"/>
      <c r="R208" s="4" t="s">
        <v>155</v>
      </c>
      <c r="S208" s="7"/>
      <c r="T208" s="7"/>
      <c r="U208" s="7"/>
      <c r="V208" s="7"/>
      <c r="W208" s="10" t="s">
        <v>31</v>
      </c>
      <c r="X208" s="4"/>
    </row>
    <row r="209" customFormat="false" ht="15" hidden="false" customHeight="true" outlineLevel="0" collapsed="false">
      <c r="A209" s="3" t="s">
        <v>747</v>
      </c>
      <c r="B209" s="3" t="s">
        <v>748</v>
      </c>
      <c r="C209" s="3" t="s">
        <v>749</v>
      </c>
      <c r="D209" s="4"/>
      <c r="E209" s="4" t="s">
        <v>743</v>
      </c>
      <c r="F209" s="4" t="s">
        <v>72</v>
      </c>
      <c r="G209" s="5"/>
      <c r="H209" s="6"/>
      <c r="I209" s="6"/>
      <c r="J209" s="4" t="n">
        <v>0</v>
      </c>
      <c r="K209" s="7" t="n">
        <v>5500</v>
      </c>
      <c r="L209" s="8" t="n">
        <v>45</v>
      </c>
      <c r="M209" s="7" t="n">
        <v>3025</v>
      </c>
      <c r="N209" s="7"/>
      <c r="O209" s="9" t="str">
        <f aca="false">IF(AND(N(G209)&gt;0,N(M209)&gt;0),G209/M209,"")</f>
        <v/>
      </c>
      <c r="P209" s="7"/>
      <c r="Q209" s="7"/>
      <c r="R209" s="4" t="s">
        <v>155</v>
      </c>
      <c r="S209" s="7"/>
      <c r="T209" s="7"/>
      <c r="U209" s="7"/>
      <c r="V209" s="7"/>
      <c r="W209" s="10" t="s">
        <v>31</v>
      </c>
      <c r="X209" s="4"/>
    </row>
    <row r="210" customFormat="false" ht="15" hidden="false" customHeight="true" outlineLevel="0" collapsed="false">
      <c r="A210" s="3" t="s">
        <v>750</v>
      </c>
      <c r="B210" s="3" t="s">
        <v>751</v>
      </c>
      <c r="C210" s="3" t="s">
        <v>752</v>
      </c>
      <c r="D210" s="4"/>
      <c r="E210" s="4" t="s">
        <v>753</v>
      </c>
      <c r="F210" s="4" t="s">
        <v>72</v>
      </c>
      <c r="G210" s="11" t="n">
        <v>2450</v>
      </c>
      <c r="H210" s="12" t="s">
        <v>113</v>
      </c>
      <c r="I210" s="12" t="s">
        <v>114</v>
      </c>
      <c r="J210" s="4" t="n">
        <v>0</v>
      </c>
      <c r="K210" s="7" t="n">
        <v>10260</v>
      </c>
      <c r="L210" s="8" t="n">
        <v>35</v>
      </c>
      <c r="M210" s="7" t="n">
        <v>6669</v>
      </c>
      <c r="N210" s="7"/>
      <c r="O210" s="9" t="n">
        <f aca="false">IF(AND(N(G210)&gt;0,N(M210)&gt;0),G210/M210,"")</f>
        <v>0.367371420002999</v>
      </c>
      <c r="P210" s="7" t="n">
        <v>10260</v>
      </c>
      <c r="Q210" s="7" t="n">
        <v>6669</v>
      </c>
      <c r="R210" s="4" t="s">
        <v>65</v>
      </c>
      <c r="S210" s="7"/>
      <c r="T210" s="7"/>
      <c r="U210" s="7"/>
      <c r="V210" s="7"/>
      <c r="W210" s="10" t="s">
        <v>31</v>
      </c>
      <c r="X210" s="10" t="s">
        <v>31</v>
      </c>
    </row>
    <row r="211" customFormat="false" ht="15" hidden="false" customHeight="true" outlineLevel="0" collapsed="false">
      <c r="A211" s="3" t="s">
        <v>754</v>
      </c>
      <c r="B211" s="3" t="s">
        <v>755</v>
      </c>
      <c r="C211" s="3" t="s">
        <v>756</v>
      </c>
      <c r="D211" s="4"/>
      <c r="E211" s="4" t="s">
        <v>163</v>
      </c>
      <c r="F211" s="4" t="s">
        <v>72</v>
      </c>
      <c r="G211" s="5"/>
      <c r="H211" s="6"/>
      <c r="I211" s="6"/>
      <c r="J211" s="4" t="n">
        <v>0</v>
      </c>
      <c r="K211" s="7" t="n">
        <v>5500</v>
      </c>
      <c r="L211" s="8" t="n">
        <v>0</v>
      </c>
      <c r="M211" s="7" t="n">
        <v>5500</v>
      </c>
      <c r="N211" s="7"/>
      <c r="O211" s="9" t="str">
        <f aca="false">IF(AND(N(G211)&gt;0,N(M211)&gt;0),G211/M211,"")</f>
        <v/>
      </c>
      <c r="P211" s="7"/>
      <c r="Q211" s="7"/>
      <c r="R211" s="4" t="s">
        <v>155</v>
      </c>
      <c r="S211" s="7"/>
      <c r="T211" s="7"/>
      <c r="U211" s="7"/>
      <c r="V211" s="7"/>
      <c r="W211" s="10" t="s">
        <v>31</v>
      </c>
      <c r="X211" s="4"/>
    </row>
    <row r="212" customFormat="false" ht="15" hidden="false" customHeight="true" outlineLevel="0" collapsed="false">
      <c r="A212" s="3" t="s">
        <v>757</v>
      </c>
      <c r="B212" s="3" t="s">
        <v>758</v>
      </c>
      <c r="C212" s="3" t="s">
        <v>759</v>
      </c>
      <c r="D212" s="4"/>
      <c r="E212" s="4" t="s">
        <v>760</v>
      </c>
      <c r="F212" s="4" t="s">
        <v>72</v>
      </c>
      <c r="G212" s="5"/>
      <c r="H212" s="6"/>
      <c r="I212" s="6"/>
      <c r="J212" s="4" t="n">
        <v>0</v>
      </c>
      <c r="K212" s="7" t="n">
        <v>11400</v>
      </c>
      <c r="L212" s="8" t="n">
        <v>73</v>
      </c>
      <c r="M212" s="7" t="n">
        <v>3078</v>
      </c>
      <c r="N212" s="7"/>
      <c r="O212" s="9" t="str">
        <f aca="false">IF(AND(N(G212)&gt;0,N(M212)&gt;0),G212/M212,"")</f>
        <v/>
      </c>
      <c r="P212" s="7" t="n">
        <v>11400</v>
      </c>
      <c r="Q212" s="7" t="n">
        <v>3078</v>
      </c>
      <c r="R212" s="4" t="s">
        <v>65</v>
      </c>
      <c r="S212" s="7"/>
      <c r="T212" s="7"/>
      <c r="U212" s="7"/>
      <c r="V212" s="7"/>
      <c r="W212" s="10" t="s">
        <v>31</v>
      </c>
      <c r="X212" s="10" t="s">
        <v>31</v>
      </c>
    </row>
    <row r="213" customFormat="false" ht="15" hidden="false" customHeight="true" outlineLevel="0" collapsed="false">
      <c r="A213" s="3" t="s">
        <v>761</v>
      </c>
      <c r="B213" s="3" t="s">
        <v>762</v>
      </c>
      <c r="C213" s="3" t="s">
        <v>763</v>
      </c>
      <c r="D213" s="4"/>
      <c r="E213" s="4" t="s">
        <v>764</v>
      </c>
      <c r="F213" s="4" t="s">
        <v>72</v>
      </c>
      <c r="G213" s="11" t="n">
        <v>3400</v>
      </c>
      <c r="H213" s="12" t="s">
        <v>36</v>
      </c>
      <c r="I213" s="12" t="s">
        <v>37</v>
      </c>
      <c r="J213" s="4" t="n">
        <v>0</v>
      </c>
      <c r="K213" s="7" t="n">
        <v>23730</v>
      </c>
      <c r="L213" s="8" t="n">
        <v>0</v>
      </c>
      <c r="M213" s="7" t="n">
        <v>23730</v>
      </c>
      <c r="N213" s="7"/>
      <c r="O213" s="9" t="n">
        <f aca="false">IF(AND(N(G213)&gt;0,N(M213)&gt;0),G213/M213,"")</f>
        <v>0.143278550358196</v>
      </c>
      <c r="P213" s="7" t="n">
        <v>23730</v>
      </c>
      <c r="Q213" s="7" t="n">
        <v>23730</v>
      </c>
      <c r="R213" s="4" t="s">
        <v>65</v>
      </c>
      <c r="S213" s="7"/>
      <c r="T213" s="7"/>
      <c r="U213" s="7"/>
      <c r="V213" s="7"/>
      <c r="W213" s="10" t="s">
        <v>31</v>
      </c>
      <c r="X213" s="10" t="s">
        <v>31</v>
      </c>
    </row>
    <row r="214" customFormat="false" ht="15" hidden="false" customHeight="true" outlineLevel="0" collapsed="false">
      <c r="A214" s="3" t="s">
        <v>765</v>
      </c>
      <c r="B214" s="3" t="s">
        <v>766</v>
      </c>
      <c r="C214" s="3" t="s">
        <v>767</v>
      </c>
      <c r="D214" s="4"/>
      <c r="E214" s="4" t="s">
        <v>768</v>
      </c>
      <c r="F214" s="4" t="s">
        <v>72</v>
      </c>
      <c r="G214" s="11" t="n">
        <v>3800</v>
      </c>
      <c r="H214" s="12" t="s">
        <v>36</v>
      </c>
      <c r="I214" s="12" t="s">
        <v>37</v>
      </c>
      <c r="J214" s="4" t="n">
        <v>0</v>
      </c>
      <c r="K214" s="7" t="n">
        <v>57564</v>
      </c>
      <c r="L214" s="8" t="n">
        <v>0</v>
      </c>
      <c r="M214" s="7" t="n">
        <v>57564</v>
      </c>
      <c r="N214" s="7"/>
      <c r="O214" s="9" t="n">
        <f aca="false">IF(AND(N(G214)&gt;0,N(M214)&gt;0),G214/M214,"")</f>
        <v>0.066013480647627</v>
      </c>
      <c r="P214" s="7" t="n">
        <v>57564</v>
      </c>
      <c r="Q214" s="7" t="n">
        <v>57564</v>
      </c>
      <c r="R214" s="4" t="s">
        <v>65</v>
      </c>
      <c r="S214" s="7"/>
      <c r="T214" s="7"/>
      <c r="U214" s="7"/>
      <c r="V214" s="7"/>
      <c r="W214" s="10" t="s">
        <v>31</v>
      </c>
      <c r="X214" s="10" t="s">
        <v>31</v>
      </c>
    </row>
    <row r="215" customFormat="false" ht="15" hidden="false" customHeight="true" outlineLevel="0" collapsed="false">
      <c r="A215" s="3" t="s">
        <v>769</v>
      </c>
      <c r="B215" s="3" t="s">
        <v>770</v>
      </c>
      <c r="C215" s="3" t="s">
        <v>771</v>
      </c>
      <c r="D215" s="4"/>
      <c r="E215" s="4" t="s">
        <v>772</v>
      </c>
      <c r="F215" s="4" t="s">
        <v>72</v>
      </c>
      <c r="G215" s="5"/>
      <c r="H215" s="6"/>
      <c r="I215" s="6"/>
      <c r="J215" s="4" t="n">
        <v>0</v>
      </c>
      <c r="K215" s="7" t="n">
        <v>12500</v>
      </c>
      <c r="L215" s="8" t="n">
        <v>0</v>
      </c>
      <c r="M215" s="7" t="n">
        <v>12500</v>
      </c>
      <c r="N215" s="7"/>
      <c r="O215" s="9" t="str">
        <f aca="false">IF(AND(N(G215)&gt;0,N(M215)&gt;0),G215/M215,"")</f>
        <v/>
      </c>
      <c r="P215" s="7" t="n">
        <v>12500</v>
      </c>
      <c r="Q215" s="7" t="n">
        <v>12500</v>
      </c>
      <c r="R215" s="4" t="s">
        <v>65</v>
      </c>
      <c r="S215" s="7"/>
      <c r="T215" s="7"/>
      <c r="U215" s="7"/>
      <c r="V215" s="7"/>
      <c r="W215" s="10" t="s">
        <v>31</v>
      </c>
      <c r="X215" s="10" t="s">
        <v>31</v>
      </c>
    </row>
    <row r="216" customFormat="false" ht="15" hidden="false" customHeight="true" outlineLevel="0" collapsed="false">
      <c r="A216" s="3" t="s">
        <v>773</v>
      </c>
      <c r="B216" s="3" t="s">
        <v>774</v>
      </c>
      <c r="C216" s="3" t="s">
        <v>775</v>
      </c>
      <c r="D216" s="4"/>
      <c r="E216" s="4" t="s">
        <v>776</v>
      </c>
      <c r="F216" s="4" t="s">
        <v>72</v>
      </c>
      <c r="G216" s="11" t="n">
        <v>1200</v>
      </c>
      <c r="H216" s="12" t="s">
        <v>36</v>
      </c>
      <c r="I216" s="12" t="s">
        <v>37</v>
      </c>
      <c r="J216" s="4" t="n">
        <v>0</v>
      </c>
      <c r="K216" s="7" t="n">
        <v>16800</v>
      </c>
      <c r="L216" s="8" t="n">
        <v>0</v>
      </c>
      <c r="M216" s="7" t="n">
        <v>16800</v>
      </c>
      <c r="N216" s="7"/>
      <c r="O216" s="9" t="n">
        <f aca="false">IF(AND(N(G216)&gt;0,N(M216)&gt;0),G216/M216,"")</f>
        <v>0.0714285714285714</v>
      </c>
      <c r="P216" s="7" t="n">
        <v>16800</v>
      </c>
      <c r="Q216" s="7" t="n">
        <v>16800</v>
      </c>
      <c r="R216" s="4" t="s">
        <v>65</v>
      </c>
      <c r="S216" s="7"/>
      <c r="T216" s="7"/>
      <c r="U216" s="7"/>
      <c r="V216" s="7"/>
      <c r="W216" s="10" t="s">
        <v>31</v>
      </c>
      <c r="X216" s="10" t="s">
        <v>31</v>
      </c>
    </row>
    <row r="217" customFormat="false" ht="15" hidden="false" customHeight="true" outlineLevel="0" collapsed="false">
      <c r="A217" s="3" t="s">
        <v>777</v>
      </c>
      <c r="B217" s="3" t="s">
        <v>778</v>
      </c>
      <c r="C217" s="3" t="s">
        <v>779</v>
      </c>
      <c r="D217" s="4"/>
      <c r="E217" s="4" t="s">
        <v>780</v>
      </c>
      <c r="F217" s="4" t="s">
        <v>72</v>
      </c>
      <c r="G217" s="11" t="n">
        <v>800</v>
      </c>
      <c r="H217" s="12" t="s">
        <v>36</v>
      </c>
      <c r="I217" s="12" t="s">
        <v>37</v>
      </c>
      <c r="J217" s="4" t="n">
        <v>0</v>
      </c>
      <c r="K217" s="7" t="n">
        <v>8800</v>
      </c>
      <c r="L217" s="8" t="n">
        <v>0</v>
      </c>
      <c r="M217" s="7" t="n">
        <v>8800</v>
      </c>
      <c r="N217" s="7"/>
      <c r="O217" s="9" t="n">
        <f aca="false">IF(AND(N(G217)&gt;0,N(M217)&gt;0),G217/M217,"")</f>
        <v>0.0909090909090909</v>
      </c>
      <c r="P217" s="7" t="n">
        <v>8800</v>
      </c>
      <c r="Q217" s="7" t="n">
        <v>8800</v>
      </c>
      <c r="R217" s="4" t="s">
        <v>65</v>
      </c>
      <c r="S217" s="7"/>
      <c r="T217" s="7"/>
      <c r="U217" s="7"/>
      <c r="V217" s="7"/>
      <c r="W217" s="10" t="s">
        <v>31</v>
      </c>
      <c r="X217" s="10" t="s">
        <v>31</v>
      </c>
    </row>
    <row r="218" customFormat="false" ht="15" hidden="false" customHeight="true" outlineLevel="0" collapsed="false">
      <c r="A218" s="3" t="s">
        <v>781</v>
      </c>
      <c r="B218" s="3" t="s">
        <v>782</v>
      </c>
      <c r="C218" s="3" t="s">
        <v>783</v>
      </c>
      <c r="D218" s="4"/>
      <c r="E218" s="4" t="s">
        <v>784</v>
      </c>
      <c r="F218" s="4" t="s">
        <v>72</v>
      </c>
      <c r="G218" s="11" t="n">
        <v>2800</v>
      </c>
      <c r="H218" s="12" t="s">
        <v>113</v>
      </c>
      <c r="I218" s="12" t="s">
        <v>114</v>
      </c>
      <c r="J218" s="4" t="n">
        <v>0</v>
      </c>
      <c r="K218" s="7" t="n">
        <v>42360</v>
      </c>
      <c r="L218" s="8" t="n">
        <v>0</v>
      </c>
      <c r="M218" s="7" t="n">
        <v>42360</v>
      </c>
      <c r="N218" s="7"/>
      <c r="O218" s="9" t="n">
        <f aca="false">IF(AND(N(G218)&gt;0,N(M218)&gt;0),G218/M218,"")</f>
        <v>0.0661000944287063</v>
      </c>
      <c r="P218" s="7" t="n">
        <v>42360</v>
      </c>
      <c r="Q218" s="7" t="n">
        <v>42360</v>
      </c>
      <c r="R218" s="4" t="s">
        <v>65</v>
      </c>
      <c r="S218" s="7"/>
      <c r="T218" s="7"/>
      <c r="U218" s="7"/>
      <c r="V218" s="7"/>
      <c r="W218" s="10" t="s">
        <v>31</v>
      </c>
      <c r="X218" s="10" t="s">
        <v>31</v>
      </c>
    </row>
    <row r="219" customFormat="false" ht="15" hidden="false" customHeight="true" outlineLevel="0" collapsed="false">
      <c r="A219" s="3" t="s">
        <v>785</v>
      </c>
      <c r="B219" s="3" t="s">
        <v>786</v>
      </c>
      <c r="C219" s="3" t="s">
        <v>787</v>
      </c>
      <c r="D219" s="4"/>
      <c r="E219" s="4" t="s">
        <v>788</v>
      </c>
      <c r="F219" s="4" t="s">
        <v>72</v>
      </c>
      <c r="G219" s="11" t="n">
        <v>2800</v>
      </c>
      <c r="H219" s="12" t="s">
        <v>113</v>
      </c>
      <c r="I219" s="12" t="s">
        <v>114</v>
      </c>
      <c r="J219" s="4" t="n">
        <v>0</v>
      </c>
      <c r="K219" s="7" t="n">
        <v>18750</v>
      </c>
      <c r="L219" s="8" t="n">
        <v>70</v>
      </c>
      <c r="M219" s="7" t="n">
        <v>5625</v>
      </c>
      <c r="N219" s="7"/>
      <c r="O219" s="9" t="n">
        <f aca="false">IF(AND(N(G219)&gt;0,N(M219)&gt;0),G219/M219,"")</f>
        <v>0.497777777777778</v>
      </c>
      <c r="P219" s="7" t="n">
        <v>18750</v>
      </c>
      <c r="Q219" s="7" t="n">
        <v>5625</v>
      </c>
      <c r="R219" s="4" t="s">
        <v>30</v>
      </c>
      <c r="S219" s="7" t="n">
        <v>15190</v>
      </c>
      <c r="T219" s="7" t="n">
        <v>18750</v>
      </c>
      <c r="U219" s="7" t="n">
        <v>15290</v>
      </c>
      <c r="V219" s="7" t="n">
        <v>18750</v>
      </c>
      <c r="W219" s="10" t="s">
        <v>31</v>
      </c>
      <c r="X219" s="10" t="s">
        <v>31</v>
      </c>
    </row>
    <row r="220" customFormat="false" ht="15" hidden="false" customHeight="true" outlineLevel="0" collapsed="false">
      <c r="A220" s="3" t="s">
        <v>789</v>
      </c>
      <c r="B220" s="3" t="s">
        <v>790</v>
      </c>
      <c r="C220" s="3" t="s">
        <v>791</v>
      </c>
      <c r="D220" s="4"/>
      <c r="E220" s="4" t="s">
        <v>792</v>
      </c>
      <c r="F220" s="4" t="s">
        <v>72</v>
      </c>
      <c r="G220" s="11" t="n">
        <v>800</v>
      </c>
      <c r="H220" s="12" t="s">
        <v>113</v>
      </c>
      <c r="I220" s="12" t="s">
        <v>114</v>
      </c>
      <c r="J220" s="4" t="n">
        <v>0</v>
      </c>
      <c r="K220" s="7" t="n">
        <v>38700</v>
      </c>
      <c r="L220" s="8" t="n">
        <v>50</v>
      </c>
      <c r="M220" s="7" t="n">
        <v>19350</v>
      </c>
      <c r="N220" s="7"/>
      <c r="O220" s="9" t="n">
        <f aca="false">IF(AND(N(G220)&gt;0,N(M220)&gt;0),G220/M220,"")</f>
        <v>0.041343669250646</v>
      </c>
      <c r="P220" s="7" t="n">
        <v>38700</v>
      </c>
      <c r="Q220" s="7" t="n">
        <v>19350</v>
      </c>
      <c r="R220" s="4" t="s">
        <v>65</v>
      </c>
      <c r="S220" s="7" t="n">
        <v>27990</v>
      </c>
      <c r="T220" s="7" t="n">
        <v>38700</v>
      </c>
      <c r="U220" s="7" t="n">
        <v>28090</v>
      </c>
      <c r="V220" s="7" t="n">
        <v>38700</v>
      </c>
      <c r="W220" s="10" t="s">
        <v>31</v>
      </c>
      <c r="X220" s="10" t="s">
        <v>31</v>
      </c>
    </row>
    <row r="221" customFormat="false" ht="15" hidden="false" customHeight="true" outlineLevel="0" collapsed="false">
      <c r="A221" s="3" t="s">
        <v>793</v>
      </c>
      <c r="B221" s="3" t="s">
        <v>794</v>
      </c>
      <c r="C221" s="3" t="s">
        <v>795</v>
      </c>
      <c r="D221" s="4"/>
      <c r="E221" s="4" t="s">
        <v>796</v>
      </c>
      <c r="F221" s="4" t="s">
        <v>72</v>
      </c>
      <c r="G221" s="11" t="n">
        <v>3120</v>
      </c>
      <c r="H221" s="12" t="s">
        <v>36</v>
      </c>
      <c r="I221" s="12" t="s">
        <v>37</v>
      </c>
      <c r="J221" s="4" t="n">
        <v>0</v>
      </c>
      <c r="K221" s="7" t="n">
        <v>21600</v>
      </c>
      <c r="L221" s="8" t="n">
        <v>0</v>
      </c>
      <c r="M221" s="7" t="n">
        <v>21600</v>
      </c>
      <c r="N221" s="7"/>
      <c r="O221" s="9" t="n">
        <f aca="false">IF(AND(N(G221)&gt;0,N(M221)&gt;0),G221/M221,"")</f>
        <v>0.144444444444444</v>
      </c>
      <c r="P221" s="7" t="n">
        <v>21600</v>
      </c>
      <c r="Q221" s="7" t="n">
        <v>21600</v>
      </c>
      <c r="R221" s="4" t="s">
        <v>65</v>
      </c>
      <c r="S221" s="7"/>
      <c r="T221" s="7"/>
      <c r="U221" s="7"/>
      <c r="V221" s="7"/>
      <c r="W221" s="10" t="s">
        <v>31</v>
      </c>
      <c r="X221" s="10" t="s">
        <v>31</v>
      </c>
    </row>
    <row r="222" customFormat="false" ht="15" hidden="false" customHeight="true" outlineLevel="0" collapsed="false">
      <c r="A222" s="3" t="s">
        <v>797</v>
      </c>
      <c r="B222" s="3" t="s">
        <v>798</v>
      </c>
      <c r="C222" s="3" t="s">
        <v>799</v>
      </c>
      <c r="D222" s="4"/>
      <c r="E222" s="4" t="s">
        <v>800</v>
      </c>
      <c r="F222" s="4" t="s">
        <v>72</v>
      </c>
      <c r="G222" s="11" t="n">
        <v>1150</v>
      </c>
      <c r="H222" s="12" t="s">
        <v>36</v>
      </c>
      <c r="I222" s="12" t="s">
        <v>37</v>
      </c>
      <c r="J222" s="4" t="n">
        <v>0</v>
      </c>
      <c r="K222" s="7" t="n">
        <v>8000</v>
      </c>
      <c r="L222" s="8" t="n">
        <v>0</v>
      </c>
      <c r="M222" s="7" t="n">
        <v>8000</v>
      </c>
      <c r="N222" s="7"/>
      <c r="O222" s="9" t="n">
        <f aca="false">IF(AND(N(G222)&gt;0,N(M222)&gt;0),G222/M222,"")</f>
        <v>0.14375</v>
      </c>
      <c r="P222" s="7" t="n">
        <v>8000</v>
      </c>
      <c r="Q222" s="7" t="n">
        <v>8000</v>
      </c>
      <c r="R222" s="4" t="s">
        <v>65</v>
      </c>
      <c r="S222" s="7"/>
      <c r="T222" s="7"/>
      <c r="U222" s="7"/>
      <c r="V222" s="7"/>
      <c r="W222" s="10" t="s">
        <v>31</v>
      </c>
      <c r="X222" s="10" t="s">
        <v>31</v>
      </c>
    </row>
    <row r="223" customFormat="false" ht="15" hidden="false" customHeight="true" outlineLevel="0" collapsed="false">
      <c r="A223" s="3" t="s">
        <v>801</v>
      </c>
      <c r="B223" s="3" t="s">
        <v>802</v>
      </c>
      <c r="C223" s="3" t="s">
        <v>803</v>
      </c>
      <c r="D223" s="4"/>
      <c r="E223" s="4" t="s">
        <v>804</v>
      </c>
      <c r="F223" s="4" t="s">
        <v>72</v>
      </c>
      <c r="G223" s="5"/>
      <c r="H223" s="6"/>
      <c r="I223" s="6"/>
      <c r="J223" s="4" t="n">
        <v>0</v>
      </c>
      <c r="K223" s="7" t="n">
        <v>22000</v>
      </c>
      <c r="L223" s="8" t="n">
        <v>56</v>
      </c>
      <c r="M223" s="7" t="n">
        <v>9680</v>
      </c>
      <c r="N223" s="7"/>
      <c r="O223" s="9" t="str">
        <f aca="false">IF(AND(N(G223)&gt;0,N(M223)&gt;0),G223/M223,"")</f>
        <v/>
      </c>
      <c r="P223" s="7" t="n">
        <v>22000</v>
      </c>
      <c r="Q223" s="7" t="n">
        <v>9680</v>
      </c>
      <c r="R223" s="4" t="s">
        <v>65</v>
      </c>
      <c r="S223" s="7"/>
      <c r="T223" s="7"/>
      <c r="U223" s="7"/>
      <c r="V223" s="7"/>
      <c r="W223" s="10" t="s">
        <v>31</v>
      </c>
      <c r="X223" s="10" t="s">
        <v>31</v>
      </c>
    </row>
    <row r="224" customFormat="false" ht="15" hidden="false" customHeight="true" outlineLevel="0" collapsed="false">
      <c r="A224" s="3" t="s">
        <v>805</v>
      </c>
      <c r="B224" s="3" t="s">
        <v>806</v>
      </c>
      <c r="C224" s="3" t="s">
        <v>807</v>
      </c>
      <c r="D224" s="4"/>
      <c r="E224" s="4" t="s">
        <v>808</v>
      </c>
      <c r="F224" s="4" t="s">
        <v>72</v>
      </c>
      <c r="G224" s="5"/>
      <c r="H224" s="6"/>
      <c r="I224" s="6"/>
      <c r="J224" s="4" t="n">
        <v>0</v>
      </c>
      <c r="K224" s="7" t="n">
        <v>7557</v>
      </c>
      <c r="L224" s="8" t="n">
        <v>0</v>
      </c>
      <c r="M224" s="7" t="n">
        <v>7557</v>
      </c>
      <c r="N224" s="7"/>
      <c r="O224" s="9" t="str">
        <f aca="false">IF(AND(N(G224)&gt;0,N(M224)&gt;0),G224/M224,"")</f>
        <v/>
      </c>
      <c r="P224" s="7" t="n">
        <v>7557</v>
      </c>
      <c r="Q224" s="7" t="n">
        <v>7557</v>
      </c>
      <c r="R224" s="4" t="s">
        <v>65</v>
      </c>
      <c r="S224" s="7"/>
      <c r="T224" s="7"/>
      <c r="U224" s="7"/>
      <c r="V224" s="7"/>
      <c r="W224" s="10" t="s">
        <v>31</v>
      </c>
      <c r="X224" s="10" t="s">
        <v>31</v>
      </c>
    </row>
    <row r="225" customFormat="false" ht="15" hidden="false" customHeight="true" outlineLevel="0" collapsed="false">
      <c r="A225" s="3" t="s">
        <v>809</v>
      </c>
      <c r="B225" s="3" t="s">
        <v>810</v>
      </c>
      <c r="C225" s="3" t="s">
        <v>811</v>
      </c>
      <c r="D225" s="4"/>
      <c r="E225" s="4" t="s">
        <v>808</v>
      </c>
      <c r="F225" s="4" t="s">
        <v>72</v>
      </c>
      <c r="G225" s="5"/>
      <c r="H225" s="6"/>
      <c r="I225" s="6"/>
      <c r="J225" s="4" t="n">
        <v>0</v>
      </c>
      <c r="K225" s="7" t="n">
        <v>7150</v>
      </c>
      <c r="L225" s="8" t="n">
        <v>0</v>
      </c>
      <c r="M225" s="7" t="n">
        <v>7150</v>
      </c>
      <c r="N225" s="7"/>
      <c r="O225" s="9" t="str">
        <f aca="false">IF(AND(N(G225)&gt;0,N(M225)&gt;0),G225/M225,"")</f>
        <v/>
      </c>
      <c r="P225" s="7" t="n">
        <v>7150</v>
      </c>
      <c r="Q225" s="7" t="n">
        <v>7150</v>
      </c>
      <c r="R225" s="4" t="s">
        <v>65</v>
      </c>
      <c r="S225" s="7"/>
      <c r="T225" s="7"/>
      <c r="U225" s="7"/>
      <c r="V225" s="7"/>
      <c r="W225" s="10" t="s">
        <v>31</v>
      </c>
      <c r="X225" s="10" t="s">
        <v>31</v>
      </c>
    </row>
    <row r="226" customFormat="false" ht="15" hidden="false" customHeight="true" outlineLevel="0" collapsed="false">
      <c r="A226" s="3" t="s">
        <v>812</v>
      </c>
      <c r="B226" s="3" t="s">
        <v>813</v>
      </c>
      <c r="C226" s="3" t="s">
        <v>814</v>
      </c>
      <c r="D226" s="4"/>
      <c r="E226" s="4" t="s">
        <v>815</v>
      </c>
      <c r="F226" s="4" t="s">
        <v>72</v>
      </c>
      <c r="G226" s="5"/>
      <c r="H226" s="6"/>
      <c r="I226" s="6"/>
      <c r="J226" s="4" t="n">
        <v>0</v>
      </c>
      <c r="K226" s="7" t="n">
        <v>11500</v>
      </c>
      <c r="L226" s="8" t="n">
        <v>0</v>
      </c>
      <c r="M226" s="7" t="n">
        <v>11500</v>
      </c>
      <c r="N226" s="7"/>
      <c r="O226" s="9" t="str">
        <f aca="false">IF(AND(N(G226)&gt;0,N(M226)&gt;0),G226/M226,"")</f>
        <v/>
      </c>
      <c r="P226" s="7" t="n">
        <v>11500</v>
      </c>
      <c r="Q226" s="7" t="n">
        <v>11500</v>
      </c>
      <c r="R226" s="4" t="s">
        <v>65</v>
      </c>
      <c r="S226" s="7"/>
      <c r="T226" s="7"/>
      <c r="U226" s="7"/>
      <c r="V226" s="7"/>
      <c r="W226" s="10" t="s">
        <v>31</v>
      </c>
      <c r="X226" s="10" t="s">
        <v>31</v>
      </c>
    </row>
    <row r="227" customFormat="false" ht="15" hidden="false" customHeight="true" outlineLevel="0" collapsed="false">
      <c r="A227" s="3" t="s">
        <v>816</v>
      </c>
      <c r="B227" s="3" t="s">
        <v>817</v>
      </c>
      <c r="C227" s="3" t="s">
        <v>818</v>
      </c>
      <c r="D227" s="4"/>
      <c r="E227" s="4" t="s">
        <v>819</v>
      </c>
      <c r="F227" s="4" t="s">
        <v>72</v>
      </c>
      <c r="G227" s="11" t="n">
        <v>1150</v>
      </c>
      <c r="H227" s="12" t="s">
        <v>113</v>
      </c>
      <c r="I227" s="12" t="s">
        <v>114</v>
      </c>
      <c r="J227" s="4" t="n">
        <v>0</v>
      </c>
      <c r="K227" s="7" t="n">
        <v>9600</v>
      </c>
      <c r="L227" s="8" t="n">
        <v>0</v>
      </c>
      <c r="M227" s="7" t="n">
        <v>9600</v>
      </c>
      <c r="N227" s="7"/>
      <c r="O227" s="9" t="n">
        <f aca="false">IF(AND(N(G227)&gt;0,N(M227)&gt;0),G227/M227,"")</f>
        <v>0.119791666666667</v>
      </c>
      <c r="P227" s="7" t="n">
        <v>9600</v>
      </c>
      <c r="Q227" s="7" t="n">
        <v>9600</v>
      </c>
      <c r="R227" s="4" t="s">
        <v>65</v>
      </c>
      <c r="S227" s="7"/>
      <c r="T227" s="7"/>
      <c r="U227" s="7"/>
      <c r="V227" s="7"/>
      <c r="W227" s="10" t="s">
        <v>31</v>
      </c>
      <c r="X227" s="10" t="s">
        <v>31</v>
      </c>
    </row>
    <row r="228" customFormat="false" ht="15" hidden="false" customHeight="true" outlineLevel="0" collapsed="false">
      <c r="A228" s="3" t="s">
        <v>820</v>
      </c>
      <c r="B228" s="3" t="s">
        <v>821</v>
      </c>
      <c r="C228" s="3" t="s">
        <v>822</v>
      </c>
      <c r="D228" s="4"/>
      <c r="E228" s="4" t="s">
        <v>267</v>
      </c>
      <c r="F228" s="4" t="s">
        <v>72</v>
      </c>
      <c r="G228" s="5"/>
      <c r="H228" s="6"/>
      <c r="I228" s="6"/>
      <c r="J228" s="4" t="n">
        <v>0</v>
      </c>
      <c r="K228" s="7" t="n">
        <v>45000</v>
      </c>
      <c r="L228" s="8" t="n">
        <v>0</v>
      </c>
      <c r="M228" s="7" t="n">
        <v>45000</v>
      </c>
      <c r="N228" s="7"/>
      <c r="O228" s="9" t="str">
        <f aca="false">IF(AND(N(G228)&gt;0,N(M228)&gt;0),G228/M228,"")</f>
        <v/>
      </c>
      <c r="P228" s="7" t="n">
        <v>45000</v>
      </c>
      <c r="Q228" s="7" t="n">
        <v>45000</v>
      </c>
      <c r="R228" s="4" t="s">
        <v>65</v>
      </c>
      <c r="S228" s="7"/>
      <c r="T228" s="7"/>
      <c r="U228" s="7"/>
      <c r="V228" s="7"/>
      <c r="W228" s="10" t="s">
        <v>31</v>
      </c>
      <c r="X228" s="10" t="s">
        <v>31</v>
      </c>
    </row>
    <row r="229" customFormat="false" ht="15" hidden="false" customHeight="true" outlineLevel="0" collapsed="false">
      <c r="A229" s="3" t="s">
        <v>823</v>
      </c>
      <c r="B229" s="3" t="s">
        <v>824</v>
      </c>
      <c r="C229" s="3" t="s">
        <v>825</v>
      </c>
      <c r="D229" s="4"/>
      <c r="E229" s="4" t="s">
        <v>267</v>
      </c>
      <c r="F229" s="4" t="s">
        <v>72</v>
      </c>
      <c r="G229" s="11" t="n">
        <v>16500</v>
      </c>
      <c r="H229" s="12" t="s">
        <v>36</v>
      </c>
      <c r="I229" s="12" t="s">
        <v>37</v>
      </c>
      <c r="J229" s="4" t="n">
        <v>0</v>
      </c>
      <c r="K229" s="7" t="n">
        <v>45100</v>
      </c>
      <c r="L229" s="8" t="n">
        <v>0</v>
      </c>
      <c r="M229" s="7" t="n">
        <v>45100</v>
      </c>
      <c r="N229" s="7"/>
      <c r="O229" s="9" t="n">
        <f aca="false">IF(AND(N(G229)&gt;0,N(M229)&gt;0),G229/M229,"")</f>
        <v>0.365853658536585</v>
      </c>
      <c r="P229" s="7" t="n">
        <v>45100</v>
      </c>
      <c r="Q229" s="7" t="n">
        <v>45100</v>
      </c>
      <c r="R229" s="4" t="s">
        <v>65</v>
      </c>
      <c r="S229" s="7"/>
      <c r="T229" s="7"/>
      <c r="U229" s="7"/>
      <c r="V229" s="7"/>
      <c r="W229" s="10" t="s">
        <v>31</v>
      </c>
      <c r="X229" s="10" t="s">
        <v>31</v>
      </c>
    </row>
    <row r="230" customFormat="false" ht="15" hidden="false" customHeight="true" outlineLevel="0" collapsed="false">
      <c r="A230" s="3" t="s">
        <v>826</v>
      </c>
      <c r="B230" s="3" t="s">
        <v>827</v>
      </c>
      <c r="C230" s="3" t="s">
        <v>828</v>
      </c>
      <c r="D230" s="4"/>
      <c r="E230" s="4" t="s">
        <v>267</v>
      </c>
      <c r="F230" s="4" t="s">
        <v>72</v>
      </c>
      <c r="G230" s="11" t="n">
        <v>16500</v>
      </c>
      <c r="H230" s="12" t="s">
        <v>36</v>
      </c>
      <c r="I230" s="12" t="s">
        <v>37</v>
      </c>
      <c r="J230" s="4" t="n">
        <v>0</v>
      </c>
      <c r="K230" s="7" t="n">
        <v>47900</v>
      </c>
      <c r="L230" s="8" t="n">
        <v>0</v>
      </c>
      <c r="M230" s="7" t="n">
        <v>47900</v>
      </c>
      <c r="N230" s="7"/>
      <c r="O230" s="9" t="n">
        <f aca="false">IF(AND(N(G230)&gt;0,N(M230)&gt;0),G230/M230,"")</f>
        <v>0.34446764091858</v>
      </c>
      <c r="P230" s="7" t="n">
        <v>47900</v>
      </c>
      <c r="Q230" s="7" t="n">
        <v>47900</v>
      </c>
      <c r="R230" s="4" t="s">
        <v>65</v>
      </c>
      <c r="S230" s="7"/>
      <c r="T230" s="7"/>
      <c r="U230" s="7"/>
      <c r="V230" s="7"/>
      <c r="W230" s="10" t="s">
        <v>31</v>
      </c>
      <c r="X230" s="10" t="s">
        <v>31</v>
      </c>
    </row>
    <row r="231" customFormat="false" ht="15" hidden="false" customHeight="true" outlineLevel="0" collapsed="false">
      <c r="A231" s="3" t="s">
        <v>829</v>
      </c>
      <c r="B231" s="3" t="s">
        <v>830</v>
      </c>
      <c r="C231" s="3" t="s">
        <v>831</v>
      </c>
      <c r="D231" s="4"/>
      <c r="E231" s="4" t="s">
        <v>832</v>
      </c>
      <c r="F231" s="4" t="s">
        <v>72</v>
      </c>
      <c r="G231" s="5"/>
      <c r="H231" s="6"/>
      <c r="I231" s="6"/>
      <c r="J231" s="4" t="n">
        <v>0</v>
      </c>
      <c r="K231" s="7" t="n">
        <v>62000</v>
      </c>
      <c r="L231" s="8" t="n">
        <v>0</v>
      </c>
      <c r="M231" s="7" t="n">
        <v>62000</v>
      </c>
      <c r="N231" s="7"/>
      <c r="O231" s="9" t="str">
        <f aca="false">IF(AND(N(G231)&gt;0,N(M231)&gt;0),G231/M231,"")</f>
        <v/>
      </c>
      <c r="P231" s="7" t="n">
        <v>62000</v>
      </c>
      <c r="Q231" s="7" t="n">
        <v>62000</v>
      </c>
      <c r="R231" s="4" t="s">
        <v>65</v>
      </c>
      <c r="S231" s="7"/>
      <c r="T231" s="7"/>
      <c r="U231" s="7"/>
      <c r="V231" s="7"/>
      <c r="W231" s="10" t="s">
        <v>31</v>
      </c>
      <c r="X231" s="10" t="s">
        <v>31</v>
      </c>
    </row>
    <row r="232" customFormat="false" ht="15" hidden="false" customHeight="true" outlineLevel="0" collapsed="false">
      <c r="A232" s="3" t="s">
        <v>833</v>
      </c>
      <c r="B232" s="3" t="s">
        <v>834</v>
      </c>
      <c r="C232" s="3" t="s">
        <v>835</v>
      </c>
      <c r="D232" s="4"/>
      <c r="E232" s="4" t="s">
        <v>836</v>
      </c>
      <c r="F232" s="4" t="s">
        <v>72</v>
      </c>
      <c r="G232" s="5"/>
      <c r="H232" s="6"/>
      <c r="I232" s="6"/>
      <c r="J232" s="4" t="n">
        <v>0</v>
      </c>
      <c r="K232" s="7" t="n">
        <v>6990</v>
      </c>
      <c r="L232" s="8" t="n">
        <v>0</v>
      </c>
      <c r="M232" s="7" t="n">
        <v>6990</v>
      </c>
      <c r="N232" s="7"/>
      <c r="O232" s="9" t="str">
        <f aca="false">IF(AND(N(G232)&gt;0,N(M232)&gt;0),G232/M232,"")</f>
        <v/>
      </c>
      <c r="P232" s="7" t="n">
        <v>6990</v>
      </c>
      <c r="Q232" s="7" t="n">
        <v>6990</v>
      </c>
      <c r="R232" s="4" t="s">
        <v>65</v>
      </c>
      <c r="S232" s="7"/>
      <c r="T232" s="7"/>
      <c r="U232" s="7"/>
      <c r="V232" s="7"/>
      <c r="W232" s="10" t="s">
        <v>31</v>
      </c>
      <c r="X232" s="10" t="s">
        <v>31</v>
      </c>
    </row>
    <row r="233" customFormat="false" ht="15" hidden="false" customHeight="true" outlineLevel="0" collapsed="false">
      <c r="A233" s="3" t="s">
        <v>837</v>
      </c>
      <c r="B233" s="3" t="s">
        <v>838</v>
      </c>
      <c r="C233" s="3" t="s">
        <v>839</v>
      </c>
      <c r="D233" s="4"/>
      <c r="E233" s="4" t="s">
        <v>836</v>
      </c>
      <c r="F233" s="4" t="s">
        <v>72</v>
      </c>
      <c r="G233" s="5"/>
      <c r="H233" s="6"/>
      <c r="I233" s="6"/>
      <c r="J233" s="4" t="n">
        <v>0</v>
      </c>
      <c r="K233" s="7" t="n">
        <v>8800</v>
      </c>
      <c r="L233" s="8" t="n">
        <v>0</v>
      </c>
      <c r="M233" s="7" t="n">
        <v>8800</v>
      </c>
      <c r="N233" s="7"/>
      <c r="O233" s="9" t="str">
        <f aca="false">IF(AND(N(G233)&gt;0,N(M233)&gt;0),G233/M233,"")</f>
        <v/>
      </c>
      <c r="P233" s="7" t="n">
        <v>8800</v>
      </c>
      <c r="Q233" s="7" t="n">
        <v>8800</v>
      </c>
      <c r="R233" s="4" t="s">
        <v>65</v>
      </c>
      <c r="S233" s="7"/>
      <c r="T233" s="7"/>
      <c r="U233" s="7"/>
      <c r="V233" s="7"/>
      <c r="W233" s="10" t="s">
        <v>31</v>
      </c>
      <c r="X233" s="10" t="s">
        <v>31</v>
      </c>
    </row>
    <row r="234" customFormat="false" ht="15" hidden="false" customHeight="true" outlineLevel="0" collapsed="false">
      <c r="A234" s="3" t="s">
        <v>840</v>
      </c>
      <c r="B234" s="3" t="s">
        <v>841</v>
      </c>
      <c r="C234" s="3" t="s">
        <v>842</v>
      </c>
      <c r="D234" s="4"/>
      <c r="E234" s="4" t="s">
        <v>836</v>
      </c>
      <c r="F234" s="4" t="s">
        <v>72</v>
      </c>
      <c r="G234" s="5"/>
      <c r="H234" s="6"/>
      <c r="I234" s="6"/>
      <c r="J234" s="4" t="n">
        <v>0</v>
      </c>
      <c r="K234" s="7" t="n">
        <v>7370</v>
      </c>
      <c r="L234" s="8" t="n">
        <v>0</v>
      </c>
      <c r="M234" s="7" t="n">
        <v>7370</v>
      </c>
      <c r="N234" s="7"/>
      <c r="O234" s="9" t="str">
        <f aca="false">IF(AND(N(G234)&gt;0,N(M234)&gt;0),G234/M234,"")</f>
        <v/>
      </c>
      <c r="P234" s="7" t="n">
        <v>7370</v>
      </c>
      <c r="Q234" s="7" t="n">
        <v>7370</v>
      </c>
      <c r="R234" s="4" t="s">
        <v>65</v>
      </c>
      <c r="S234" s="7"/>
      <c r="T234" s="7"/>
      <c r="U234" s="7"/>
      <c r="V234" s="7"/>
      <c r="W234" s="10" t="s">
        <v>31</v>
      </c>
      <c r="X234" s="10" t="s">
        <v>31</v>
      </c>
    </row>
    <row r="235" customFormat="false" ht="15" hidden="false" customHeight="true" outlineLevel="0" collapsed="false">
      <c r="A235" s="3" t="s">
        <v>843</v>
      </c>
      <c r="B235" s="3" t="s">
        <v>844</v>
      </c>
      <c r="C235" s="3" t="s">
        <v>845</v>
      </c>
      <c r="D235" s="4"/>
      <c r="E235" s="4" t="s">
        <v>836</v>
      </c>
      <c r="F235" s="4" t="s">
        <v>72</v>
      </c>
      <c r="G235" s="5"/>
      <c r="H235" s="6"/>
      <c r="I235" s="6"/>
      <c r="J235" s="4" t="n">
        <v>0</v>
      </c>
      <c r="K235" s="7" t="n">
        <v>6930</v>
      </c>
      <c r="L235" s="8" t="n">
        <v>0</v>
      </c>
      <c r="M235" s="7" t="n">
        <v>6930</v>
      </c>
      <c r="N235" s="7"/>
      <c r="O235" s="9" t="str">
        <f aca="false">IF(AND(N(G235)&gt;0,N(M235)&gt;0),G235/M235,"")</f>
        <v/>
      </c>
      <c r="P235" s="7" t="n">
        <v>6930</v>
      </c>
      <c r="Q235" s="7" t="n">
        <v>6930</v>
      </c>
      <c r="R235" s="4" t="s">
        <v>65</v>
      </c>
      <c r="S235" s="7"/>
      <c r="T235" s="7"/>
      <c r="U235" s="7"/>
      <c r="V235" s="7"/>
      <c r="W235" s="10" t="s">
        <v>31</v>
      </c>
      <c r="X235" s="10" t="s">
        <v>31</v>
      </c>
    </row>
    <row r="236" customFormat="false" ht="15" hidden="false" customHeight="true" outlineLevel="0" collapsed="false">
      <c r="A236" s="3" t="s">
        <v>846</v>
      </c>
      <c r="B236" s="3" t="s">
        <v>847</v>
      </c>
      <c r="C236" s="3" t="s">
        <v>848</v>
      </c>
      <c r="D236" s="4"/>
      <c r="E236" s="4" t="s">
        <v>849</v>
      </c>
      <c r="F236" s="4" t="s">
        <v>72</v>
      </c>
      <c r="G236" s="5"/>
      <c r="H236" s="6"/>
      <c r="I236" s="6"/>
      <c r="J236" s="4" t="n">
        <v>0</v>
      </c>
      <c r="K236" s="7" t="n">
        <v>10600</v>
      </c>
      <c r="L236" s="8" t="n">
        <v>0</v>
      </c>
      <c r="M236" s="7" t="n">
        <v>10600</v>
      </c>
      <c r="N236" s="7"/>
      <c r="O236" s="9" t="str">
        <f aca="false">IF(AND(N(G236)&gt;0,N(M236)&gt;0),G236/M236,"")</f>
        <v/>
      </c>
      <c r="P236" s="7" t="n">
        <v>10600</v>
      </c>
      <c r="Q236" s="7" t="n">
        <v>10600</v>
      </c>
      <c r="R236" s="4" t="s">
        <v>65</v>
      </c>
      <c r="S236" s="7"/>
      <c r="T236" s="7"/>
      <c r="U236" s="7"/>
      <c r="V236" s="7"/>
      <c r="W236" s="10" t="s">
        <v>31</v>
      </c>
      <c r="X236" s="10" t="s">
        <v>31</v>
      </c>
    </row>
    <row r="237" customFormat="false" ht="15" hidden="false" customHeight="true" outlineLevel="0" collapsed="false">
      <c r="A237" s="3" t="s">
        <v>850</v>
      </c>
      <c r="B237" s="3" t="s">
        <v>851</v>
      </c>
      <c r="C237" s="3" t="s">
        <v>852</v>
      </c>
      <c r="D237" s="4"/>
      <c r="E237" s="4" t="s">
        <v>853</v>
      </c>
      <c r="F237" s="4" t="s">
        <v>72</v>
      </c>
      <c r="G237" s="5"/>
      <c r="H237" s="6"/>
      <c r="I237" s="6"/>
      <c r="J237" s="4" t="n">
        <v>0</v>
      </c>
      <c r="K237" s="7" t="n">
        <v>9500</v>
      </c>
      <c r="L237" s="8" t="n">
        <v>0</v>
      </c>
      <c r="M237" s="7" t="n">
        <v>9500</v>
      </c>
      <c r="N237" s="7"/>
      <c r="O237" s="9" t="str">
        <f aca="false">IF(AND(N(G237)&gt;0,N(M237)&gt;0),G237/M237,"")</f>
        <v/>
      </c>
      <c r="P237" s="7" t="n">
        <v>9500</v>
      </c>
      <c r="Q237" s="7" t="n">
        <v>9500</v>
      </c>
      <c r="R237" s="4" t="s">
        <v>65</v>
      </c>
      <c r="S237" s="7"/>
      <c r="T237" s="7"/>
      <c r="U237" s="7"/>
      <c r="V237" s="7"/>
      <c r="W237" s="10" t="s">
        <v>31</v>
      </c>
      <c r="X237" s="10" t="s">
        <v>31</v>
      </c>
    </row>
    <row r="238" customFormat="false" ht="15" hidden="false" customHeight="true" outlineLevel="0" collapsed="false">
      <c r="A238" s="3" t="s">
        <v>854</v>
      </c>
      <c r="B238" s="3" t="s">
        <v>855</v>
      </c>
      <c r="C238" s="3" t="s">
        <v>856</v>
      </c>
      <c r="D238" s="4"/>
      <c r="E238" s="4" t="s">
        <v>853</v>
      </c>
      <c r="F238" s="4" t="s">
        <v>72</v>
      </c>
      <c r="G238" s="5"/>
      <c r="H238" s="6"/>
      <c r="I238" s="6"/>
      <c r="J238" s="4" t="n">
        <v>0</v>
      </c>
      <c r="K238" s="7" t="n">
        <v>11440</v>
      </c>
      <c r="L238" s="8" t="n">
        <v>0</v>
      </c>
      <c r="M238" s="7" t="n">
        <v>11440</v>
      </c>
      <c r="N238" s="7"/>
      <c r="O238" s="9" t="str">
        <f aca="false">IF(AND(N(G238)&gt;0,N(M238)&gt;0),G238/M238,"")</f>
        <v/>
      </c>
      <c r="P238" s="7" t="n">
        <v>11440</v>
      </c>
      <c r="Q238" s="7" t="n">
        <v>11440</v>
      </c>
      <c r="R238" s="4" t="s">
        <v>65</v>
      </c>
      <c r="S238" s="7"/>
      <c r="T238" s="7"/>
      <c r="U238" s="7"/>
      <c r="V238" s="7"/>
      <c r="W238" s="10" t="s">
        <v>31</v>
      </c>
      <c r="X238" s="10" t="s">
        <v>31</v>
      </c>
    </row>
    <row r="239" customFormat="false" ht="15" hidden="false" customHeight="true" outlineLevel="0" collapsed="false">
      <c r="A239" s="3" t="s">
        <v>857</v>
      </c>
      <c r="B239" s="3" t="s">
        <v>858</v>
      </c>
      <c r="C239" s="3" t="s">
        <v>859</v>
      </c>
      <c r="D239" s="4"/>
      <c r="E239" s="4" t="s">
        <v>860</v>
      </c>
      <c r="F239" s="4" t="s">
        <v>72</v>
      </c>
      <c r="G239" s="11" t="n">
        <v>13000</v>
      </c>
      <c r="H239" s="12" t="s">
        <v>36</v>
      </c>
      <c r="I239" s="12" t="s">
        <v>37</v>
      </c>
      <c r="J239" s="4" t="n">
        <v>0</v>
      </c>
      <c r="K239" s="7" t="n">
        <v>30994</v>
      </c>
      <c r="L239" s="8" t="n">
        <v>13</v>
      </c>
      <c r="M239" s="7" t="n">
        <v>26964.78</v>
      </c>
      <c r="N239" s="7"/>
      <c r="O239" s="9" t="n">
        <f aca="false">IF(AND(N(G239)&gt;0,N(M239)&gt;0),G239/M239,"")</f>
        <v>0.482110367672201</v>
      </c>
      <c r="P239" s="7" t="n">
        <v>30994</v>
      </c>
      <c r="Q239" s="7" t="n">
        <v>26965</v>
      </c>
      <c r="R239" s="4" t="s">
        <v>65</v>
      </c>
      <c r="S239" s="7"/>
      <c r="T239" s="7"/>
      <c r="U239" s="7"/>
      <c r="V239" s="7"/>
      <c r="W239" s="10" t="s">
        <v>31</v>
      </c>
      <c r="X239" s="10" t="s">
        <v>31</v>
      </c>
    </row>
    <row r="240" customFormat="false" ht="15" hidden="false" customHeight="true" outlineLevel="0" collapsed="false">
      <c r="A240" s="3" t="s">
        <v>861</v>
      </c>
      <c r="B240" s="3" t="s">
        <v>862</v>
      </c>
      <c r="C240" s="3" t="s">
        <v>863</v>
      </c>
      <c r="D240" s="4"/>
      <c r="E240" s="4" t="s">
        <v>864</v>
      </c>
      <c r="F240" s="4" t="s">
        <v>72</v>
      </c>
      <c r="G240" s="11" t="n">
        <v>8000</v>
      </c>
      <c r="H240" s="12" t="s">
        <v>36</v>
      </c>
      <c r="I240" s="12" t="s">
        <v>37</v>
      </c>
      <c r="J240" s="4" t="n">
        <v>0</v>
      </c>
      <c r="K240" s="7" t="n">
        <v>44500</v>
      </c>
      <c r="L240" s="8" t="n">
        <v>0</v>
      </c>
      <c r="M240" s="7" t="n">
        <v>44500</v>
      </c>
      <c r="N240" s="7"/>
      <c r="O240" s="9" t="n">
        <f aca="false">IF(AND(N(G240)&gt;0,N(M240)&gt;0),G240/M240,"")</f>
        <v>0.179775280898876</v>
      </c>
      <c r="P240" s="7" t="n">
        <v>44500</v>
      </c>
      <c r="Q240" s="7" t="n">
        <v>44500</v>
      </c>
      <c r="R240" s="4" t="s">
        <v>65</v>
      </c>
      <c r="S240" s="7"/>
      <c r="T240" s="7"/>
      <c r="U240" s="7"/>
      <c r="V240" s="7"/>
      <c r="W240" s="10" t="s">
        <v>31</v>
      </c>
      <c r="X240" s="10" t="s">
        <v>31</v>
      </c>
    </row>
    <row r="241" customFormat="false" ht="15" hidden="false" customHeight="true" outlineLevel="0" collapsed="false">
      <c r="A241" s="3" t="s">
        <v>865</v>
      </c>
      <c r="B241" s="3" t="s">
        <v>866</v>
      </c>
      <c r="C241" s="3" t="s">
        <v>867</v>
      </c>
      <c r="D241" s="4"/>
      <c r="E241" s="4" t="s">
        <v>868</v>
      </c>
      <c r="F241" s="4" t="s">
        <v>72</v>
      </c>
      <c r="G241" s="5"/>
      <c r="H241" s="6"/>
      <c r="I241" s="6"/>
      <c r="J241" s="4" t="n">
        <v>0</v>
      </c>
      <c r="K241" s="7" t="n">
        <v>129000</v>
      </c>
      <c r="L241" s="8" t="n">
        <v>56</v>
      </c>
      <c r="M241" s="7" t="n">
        <v>56760</v>
      </c>
      <c r="N241" s="7"/>
      <c r="O241" s="9" t="str">
        <f aca="false">IF(AND(N(G241)&gt;0,N(M241)&gt;0),G241/M241,"")</f>
        <v/>
      </c>
      <c r="P241" s="7" t="n">
        <v>129000</v>
      </c>
      <c r="Q241" s="7" t="n">
        <v>56760</v>
      </c>
      <c r="R241" s="4" t="s">
        <v>65</v>
      </c>
      <c r="S241" s="7" t="n">
        <v>93190</v>
      </c>
      <c r="T241" s="7" t="n">
        <v>129000</v>
      </c>
      <c r="U241" s="7" t="n">
        <v>93390</v>
      </c>
      <c r="V241" s="7" t="n">
        <v>129000</v>
      </c>
      <c r="W241" s="10" t="s">
        <v>31</v>
      </c>
      <c r="X241" s="10" t="s">
        <v>31</v>
      </c>
    </row>
    <row r="242" customFormat="false" ht="15" hidden="false" customHeight="true" outlineLevel="0" collapsed="false">
      <c r="A242" s="3" t="s">
        <v>869</v>
      </c>
      <c r="B242" s="3" t="s">
        <v>870</v>
      </c>
      <c r="C242" s="3" t="s">
        <v>871</v>
      </c>
      <c r="D242" s="4"/>
      <c r="E242" s="4" t="s">
        <v>872</v>
      </c>
      <c r="F242" s="4" t="s">
        <v>72</v>
      </c>
      <c r="G242" s="5"/>
      <c r="H242" s="6"/>
      <c r="I242" s="6"/>
      <c r="J242" s="4" t="n">
        <v>0</v>
      </c>
      <c r="K242" s="7" t="n">
        <v>15000</v>
      </c>
      <c r="L242" s="8" t="n">
        <v>0</v>
      </c>
      <c r="M242" s="7" t="n">
        <v>15000</v>
      </c>
      <c r="N242" s="7"/>
      <c r="O242" s="9" t="str">
        <f aca="false">IF(AND(N(G242)&gt;0,N(M242)&gt;0),G242/M242,"")</f>
        <v/>
      </c>
      <c r="P242" s="7" t="n">
        <v>15000</v>
      </c>
      <c r="Q242" s="7" t="n">
        <v>15000</v>
      </c>
      <c r="R242" s="4" t="s">
        <v>65</v>
      </c>
      <c r="S242" s="7"/>
      <c r="T242" s="7"/>
      <c r="U242" s="7"/>
      <c r="V242" s="7"/>
      <c r="W242" s="10" t="s">
        <v>31</v>
      </c>
      <c r="X242" s="10" t="s">
        <v>31</v>
      </c>
    </row>
    <row r="243" customFormat="false" ht="15" hidden="false" customHeight="true" outlineLevel="0" collapsed="false">
      <c r="A243" s="3" t="s">
        <v>873</v>
      </c>
      <c r="B243" s="3" t="s">
        <v>874</v>
      </c>
      <c r="C243" s="3" t="s">
        <v>875</v>
      </c>
      <c r="D243" s="4"/>
      <c r="E243" s="4" t="s">
        <v>876</v>
      </c>
      <c r="F243" s="4" t="s">
        <v>72</v>
      </c>
      <c r="G243" s="5"/>
      <c r="H243" s="6"/>
      <c r="I243" s="6"/>
      <c r="J243" s="4" t="n">
        <v>0</v>
      </c>
      <c r="K243" s="7" t="n">
        <v>14000</v>
      </c>
      <c r="L243" s="8" t="n">
        <v>0</v>
      </c>
      <c r="M243" s="7" t="n">
        <v>14000</v>
      </c>
      <c r="N243" s="7"/>
      <c r="O243" s="9" t="str">
        <f aca="false">IF(AND(N(G243)&gt;0,N(M243)&gt;0),G243/M243,"")</f>
        <v/>
      </c>
      <c r="P243" s="7" t="n">
        <v>14000</v>
      </c>
      <c r="Q243" s="7" t="n">
        <v>14000</v>
      </c>
      <c r="R243" s="4" t="s">
        <v>65</v>
      </c>
      <c r="S243" s="7"/>
      <c r="T243" s="7"/>
      <c r="U243" s="7"/>
      <c r="V243" s="7"/>
      <c r="W243" s="10" t="s">
        <v>31</v>
      </c>
      <c r="X243" s="10" t="s">
        <v>31</v>
      </c>
    </row>
    <row r="244" customFormat="false" ht="15" hidden="false" customHeight="true" outlineLevel="0" collapsed="false">
      <c r="A244" s="3" t="s">
        <v>877</v>
      </c>
      <c r="B244" s="3" t="s">
        <v>878</v>
      </c>
      <c r="C244" s="3" t="s">
        <v>879</v>
      </c>
      <c r="D244" s="4"/>
      <c r="E244" s="4" t="s">
        <v>880</v>
      </c>
      <c r="F244" s="4" t="s">
        <v>235</v>
      </c>
      <c r="G244" s="5"/>
      <c r="H244" s="6"/>
      <c r="I244" s="6"/>
      <c r="J244" s="4" t="n">
        <v>0</v>
      </c>
      <c r="K244" s="7" t="n">
        <v>25500</v>
      </c>
      <c r="L244" s="8" t="n">
        <v>0</v>
      </c>
      <c r="M244" s="7" t="n">
        <v>25500</v>
      </c>
      <c r="N244" s="7"/>
      <c r="O244" s="9" t="str">
        <f aca="false">IF(AND(N(G244)&gt;0,N(M244)&gt;0),G244/M244,"")</f>
        <v/>
      </c>
      <c r="P244" s="7" t="n">
        <v>25500</v>
      </c>
      <c r="Q244" s="7" t="n">
        <v>25500</v>
      </c>
      <c r="R244" s="4" t="s">
        <v>65</v>
      </c>
      <c r="S244" s="7"/>
      <c r="T244" s="7"/>
      <c r="U244" s="7"/>
      <c r="V244" s="7"/>
      <c r="W244" s="10" t="s">
        <v>31</v>
      </c>
      <c r="X244" s="10" t="s">
        <v>31</v>
      </c>
    </row>
    <row r="245" customFormat="false" ht="15" hidden="false" customHeight="true" outlineLevel="0" collapsed="false">
      <c r="A245" s="3" t="s">
        <v>881</v>
      </c>
      <c r="B245" s="3" t="s">
        <v>882</v>
      </c>
      <c r="C245" s="3" t="s">
        <v>883</v>
      </c>
      <c r="D245" s="4"/>
      <c r="E245" s="4" t="s">
        <v>884</v>
      </c>
      <c r="F245" s="4" t="s">
        <v>235</v>
      </c>
      <c r="G245" s="11" t="n">
        <v>9400</v>
      </c>
      <c r="H245" s="12" t="s">
        <v>36</v>
      </c>
      <c r="I245" s="12" t="s">
        <v>37</v>
      </c>
      <c r="J245" s="4" t="n">
        <v>0</v>
      </c>
      <c r="K245" s="7" t="n">
        <v>54000</v>
      </c>
      <c r="L245" s="8" t="n">
        <v>0</v>
      </c>
      <c r="M245" s="7" t="n">
        <v>54000</v>
      </c>
      <c r="N245" s="7"/>
      <c r="O245" s="9" t="n">
        <f aca="false">IF(AND(N(G245)&gt;0,N(M245)&gt;0),G245/M245,"")</f>
        <v>0.174074074074074</v>
      </c>
      <c r="P245" s="7" t="n">
        <v>54000</v>
      </c>
      <c r="Q245" s="7" t="n">
        <v>54000</v>
      </c>
      <c r="R245" s="4" t="s">
        <v>65</v>
      </c>
      <c r="S245" s="7"/>
      <c r="T245" s="7"/>
      <c r="U245" s="7"/>
      <c r="V245" s="7"/>
      <c r="W245" s="10" t="s">
        <v>31</v>
      </c>
      <c r="X245" s="10" t="s">
        <v>31</v>
      </c>
    </row>
    <row r="246" customFormat="false" ht="15" hidden="false" customHeight="true" outlineLevel="0" collapsed="false">
      <c r="A246" s="3" t="s">
        <v>885</v>
      </c>
      <c r="B246" s="3" t="s">
        <v>886</v>
      </c>
      <c r="C246" s="3" t="s">
        <v>887</v>
      </c>
      <c r="D246" s="4"/>
      <c r="E246" s="4" t="s">
        <v>888</v>
      </c>
      <c r="F246" s="4" t="s">
        <v>235</v>
      </c>
      <c r="G246" s="11" t="n">
        <v>3600</v>
      </c>
      <c r="H246" s="12" t="s">
        <v>36</v>
      </c>
      <c r="I246" s="12" t="s">
        <v>37</v>
      </c>
      <c r="J246" s="4" t="n">
        <v>0</v>
      </c>
      <c r="K246" s="7" t="n">
        <v>22200</v>
      </c>
      <c r="L246" s="8" t="n">
        <v>36</v>
      </c>
      <c r="M246" s="7" t="n">
        <v>14208</v>
      </c>
      <c r="N246" s="7"/>
      <c r="O246" s="9" t="n">
        <f aca="false">IF(AND(N(G246)&gt;0,N(M246)&gt;0),G246/M246,"")</f>
        <v>0.253378378378378</v>
      </c>
      <c r="P246" s="7" t="n">
        <v>22200</v>
      </c>
      <c r="Q246" s="7" t="n">
        <v>14208</v>
      </c>
      <c r="R246" s="4" t="s">
        <v>65</v>
      </c>
      <c r="S246" s="7"/>
      <c r="T246" s="7"/>
      <c r="U246" s="7"/>
      <c r="V246" s="7"/>
      <c r="W246" s="10" t="s">
        <v>31</v>
      </c>
      <c r="X246" s="10" t="s">
        <v>31</v>
      </c>
    </row>
    <row r="247" customFormat="false" ht="15" hidden="false" customHeight="true" outlineLevel="0" collapsed="false">
      <c r="A247" s="3" t="s">
        <v>889</v>
      </c>
      <c r="B247" s="3" t="s">
        <v>890</v>
      </c>
      <c r="C247" s="3" t="s">
        <v>891</v>
      </c>
      <c r="D247" s="4"/>
      <c r="E247" s="4" t="s">
        <v>892</v>
      </c>
      <c r="F247" s="4" t="s">
        <v>235</v>
      </c>
      <c r="G247" s="5"/>
      <c r="H247" s="6"/>
      <c r="I247" s="6"/>
      <c r="J247" s="4" t="n">
        <v>0</v>
      </c>
      <c r="K247" s="7" t="n">
        <v>118500</v>
      </c>
      <c r="L247" s="8" t="n">
        <v>12</v>
      </c>
      <c r="M247" s="7" t="n">
        <v>104280</v>
      </c>
      <c r="N247" s="7"/>
      <c r="O247" s="9" t="str">
        <f aca="false">IF(AND(N(G247)&gt;0,N(M247)&gt;0),G247/M247,"")</f>
        <v/>
      </c>
      <c r="P247" s="7" t="n">
        <v>118500</v>
      </c>
      <c r="Q247" s="7" t="n">
        <v>104280</v>
      </c>
      <c r="R247" s="4" t="s">
        <v>65</v>
      </c>
      <c r="S247" s="7" t="n">
        <v>92990</v>
      </c>
      <c r="T247" s="7" t="n">
        <v>118500</v>
      </c>
      <c r="U247" s="7" t="n">
        <v>93190</v>
      </c>
      <c r="V247" s="7" t="n">
        <v>118500</v>
      </c>
      <c r="W247" s="10" t="s">
        <v>31</v>
      </c>
      <c r="X247" s="10" t="s">
        <v>31</v>
      </c>
    </row>
    <row r="248" customFormat="false" ht="15" hidden="false" customHeight="true" outlineLevel="0" collapsed="false">
      <c r="A248" s="3" t="s">
        <v>893</v>
      </c>
      <c r="B248" s="3" t="s">
        <v>894</v>
      </c>
      <c r="C248" s="3" t="s">
        <v>895</v>
      </c>
      <c r="D248" s="4"/>
      <c r="E248" s="4" t="s">
        <v>896</v>
      </c>
      <c r="F248" s="4" t="s">
        <v>235</v>
      </c>
      <c r="G248" s="11" t="n">
        <v>4500</v>
      </c>
      <c r="H248" s="12" t="s">
        <v>36</v>
      </c>
      <c r="I248" s="12" t="s">
        <v>37</v>
      </c>
      <c r="J248" s="4" t="n">
        <v>0</v>
      </c>
      <c r="K248" s="7" t="n">
        <v>48500</v>
      </c>
      <c r="L248" s="8" t="n">
        <v>47</v>
      </c>
      <c r="M248" s="7" t="n">
        <v>25705</v>
      </c>
      <c r="N248" s="7"/>
      <c r="O248" s="9" t="n">
        <f aca="false">IF(AND(N(G248)&gt;0,N(M248)&gt;0),G248/M248,"")</f>
        <v>0.175063217272904</v>
      </c>
      <c r="P248" s="7" t="n">
        <v>48500</v>
      </c>
      <c r="Q248" s="7" t="n">
        <v>25705</v>
      </c>
      <c r="R248" s="4" t="s">
        <v>65</v>
      </c>
      <c r="S248" s="7" t="n">
        <v>31990</v>
      </c>
      <c r="T248" s="7" t="n">
        <v>48500</v>
      </c>
      <c r="U248" s="7" t="n">
        <v>32090</v>
      </c>
      <c r="V248" s="7" t="n">
        <v>48500</v>
      </c>
      <c r="W248" s="10" t="s">
        <v>31</v>
      </c>
      <c r="X248" s="10" t="s">
        <v>31</v>
      </c>
    </row>
    <row r="249" customFormat="false" ht="15" hidden="false" customHeight="true" outlineLevel="0" collapsed="false">
      <c r="A249" s="3" t="s">
        <v>897</v>
      </c>
      <c r="B249" s="3" t="s">
        <v>898</v>
      </c>
      <c r="C249" s="3" t="s">
        <v>899</v>
      </c>
      <c r="D249" s="4"/>
      <c r="E249" s="4" t="s">
        <v>900</v>
      </c>
      <c r="F249" s="4" t="s">
        <v>235</v>
      </c>
      <c r="G249" s="11" t="n">
        <v>11500</v>
      </c>
      <c r="H249" s="12" t="s">
        <v>36</v>
      </c>
      <c r="I249" s="12" t="s">
        <v>37</v>
      </c>
      <c r="J249" s="4" t="n">
        <v>0</v>
      </c>
      <c r="K249" s="7" t="n">
        <v>69000</v>
      </c>
      <c r="L249" s="8" t="n">
        <v>0</v>
      </c>
      <c r="M249" s="7" t="n">
        <v>69000</v>
      </c>
      <c r="N249" s="7"/>
      <c r="O249" s="9" t="n">
        <f aca="false">IF(AND(N(G249)&gt;0,N(M249)&gt;0),G249/M249,"")</f>
        <v>0.166666666666667</v>
      </c>
      <c r="P249" s="7" t="n">
        <v>69000</v>
      </c>
      <c r="Q249" s="7" t="n">
        <v>69000</v>
      </c>
      <c r="R249" s="4" t="s">
        <v>65</v>
      </c>
      <c r="S249" s="7"/>
      <c r="T249" s="7"/>
      <c r="U249" s="7"/>
      <c r="V249" s="7"/>
      <c r="W249" s="10" t="s">
        <v>31</v>
      </c>
      <c r="X249" s="10" t="s">
        <v>31</v>
      </c>
    </row>
    <row r="250" customFormat="false" ht="15" hidden="false" customHeight="true" outlineLevel="0" collapsed="false">
      <c r="A250" s="3" t="s">
        <v>901</v>
      </c>
      <c r="B250" s="3" t="s">
        <v>902</v>
      </c>
      <c r="C250" s="3" t="s">
        <v>903</v>
      </c>
      <c r="D250" s="4"/>
      <c r="E250" s="4" t="s">
        <v>904</v>
      </c>
      <c r="F250" s="4" t="s">
        <v>235</v>
      </c>
      <c r="G250" s="11" t="n">
        <v>1100</v>
      </c>
      <c r="H250" s="12" t="s">
        <v>36</v>
      </c>
      <c r="I250" s="12" t="s">
        <v>37</v>
      </c>
      <c r="J250" s="4" t="n">
        <v>0</v>
      </c>
      <c r="K250" s="7" t="n">
        <v>5900</v>
      </c>
      <c r="L250" s="8" t="n">
        <v>4</v>
      </c>
      <c r="M250" s="7" t="n">
        <v>5664</v>
      </c>
      <c r="N250" s="7"/>
      <c r="O250" s="9" t="n">
        <f aca="false">IF(AND(N(G250)&gt;0,N(M250)&gt;0),G250/M250,"")</f>
        <v>0.194209039548023</v>
      </c>
      <c r="P250" s="7" t="n">
        <v>5900</v>
      </c>
      <c r="Q250" s="7" t="n">
        <v>5664</v>
      </c>
      <c r="R250" s="4" t="s">
        <v>65</v>
      </c>
      <c r="S250" s="7"/>
      <c r="T250" s="7"/>
      <c r="U250" s="7"/>
      <c r="V250" s="7"/>
      <c r="W250" s="10" t="s">
        <v>31</v>
      </c>
      <c r="X250" s="10" t="s">
        <v>31</v>
      </c>
    </row>
    <row r="251" customFormat="false" ht="15" hidden="false" customHeight="true" outlineLevel="0" collapsed="false">
      <c r="A251" s="3" t="s">
        <v>905</v>
      </c>
      <c r="B251" s="3" t="s">
        <v>906</v>
      </c>
      <c r="C251" s="3" t="s">
        <v>907</v>
      </c>
      <c r="D251" s="4"/>
      <c r="E251" s="4" t="s">
        <v>908</v>
      </c>
      <c r="F251" s="4" t="s">
        <v>235</v>
      </c>
      <c r="G251" s="11" t="n">
        <v>1300</v>
      </c>
      <c r="H251" s="12" t="s">
        <v>36</v>
      </c>
      <c r="I251" s="12" t="s">
        <v>37</v>
      </c>
      <c r="J251" s="4" t="n">
        <v>0</v>
      </c>
      <c r="K251" s="7" t="n">
        <v>9500</v>
      </c>
      <c r="L251" s="8" t="n">
        <v>0</v>
      </c>
      <c r="M251" s="7" t="n">
        <v>9500</v>
      </c>
      <c r="N251" s="7"/>
      <c r="O251" s="9" t="n">
        <f aca="false">IF(AND(N(G251)&gt;0,N(M251)&gt;0),G251/M251,"")</f>
        <v>0.136842105263158</v>
      </c>
      <c r="P251" s="7" t="n">
        <v>9500</v>
      </c>
      <c r="Q251" s="7" t="n">
        <v>9500</v>
      </c>
      <c r="R251" s="4" t="s">
        <v>65</v>
      </c>
      <c r="S251" s="7"/>
      <c r="T251" s="7"/>
      <c r="U251" s="7"/>
      <c r="V251" s="7"/>
      <c r="W251" s="10" t="s">
        <v>31</v>
      </c>
      <c r="X251" s="10" t="s">
        <v>31</v>
      </c>
    </row>
    <row r="252" customFormat="false" ht="15" hidden="false" customHeight="true" outlineLevel="0" collapsed="false">
      <c r="A252" s="3" t="s">
        <v>909</v>
      </c>
      <c r="B252" s="3" t="s">
        <v>910</v>
      </c>
      <c r="C252" s="3" t="s">
        <v>911</v>
      </c>
      <c r="D252" s="4"/>
      <c r="E252" s="4" t="s">
        <v>912</v>
      </c>
      <c r="F252" s="4" t="s">
        <v>235</v>
      </c>
      <c r="G252" s="5"/>
      <c r="H252" s="6"/>
      <c r="I252" s="6"/>
      <c r="J252" s="4" t="n">
        <v>0</v>
      </c>
      <c r="K252" s="7" t="n">
        <v>23000</v>
      </c>
      <c r="L252" s="8" t="n">
        <v>62</v>
      </c>
      <c r="M252" s="7" t="n">
        <v>8740</v>
      </c>
      <c r="N252" s="7"/>
      <c r="O252" s="9" t="str">
        <f aca="false">IF(AND(N(G252)&gt;0,N(M252)&gt;0),G252/M252,"")</f>
        <v/>
      </c>
      <c r="P252" s="7" t="n">
        <v>23000</v>
      </c>
      <c r="Q252" s="7" t="n">
        <v>8740</v>
      </c>
      <c r="R252" s="4" t="s">
        <v>30</v>
      </c>
      <c r="S252" s="7" t="n">
        <v>17750</v>
      </c>
      <c r="T252" s="7" t="n">
        <v>23000</v>
      </c>
      <c r="U252" s="7" t="n">
        <v>17790</v>
      </c>
      <c r="V252" s="7" t="n">
        <v>23000</v>
      </c>
      <c r="W252" s="10" t="s">
        <v>31</v>
      </c>
      <c r="X252" s="10" t="s">
        <v>31</v>
      </c>
    </row>
    <row r="253" customFormat="false" ht="15" hidden="false" customHeight="true" outlineLevel="0" collapsed="false">
      <c r="A253" s="3" t="s">
        <v>913</v>
      </c>
      <c r="B253" s="3" t="s">
        <v>914</v>
      </c>
      <c r="C253" s="3" t="s">
        <v>915</v>
      </c>
      <c r="D253" s="4"/>
      <c r="E253" s="4" t="s">
        <v>916</v>
      </c>
      <c r="F253" s="4" t="s">
        <v>235</v>
      </c>
      <c r="G253" s="11" t="n">
        <v>2900</v>
      </c>
      <c r="H253" s="12" t="s">
        <v>36</v>
      </c>
      <c r="I253" s="12" t="s">
        <v>37</v>
      </c>
      <c r="J253" s="4" t="n">
        <v>0</v>
      </c>
      <c r="K253" s="7" t="n">
        <v>11500</v>
      </c>
      <c r="L253" s="8" t="n">
        <v>3</v>
      </c>
      <c r="M253" s="7" t="n">
        <v>11155</v>
      </c>
      <c r="N253" s="7"/>
      <c r="O253" s="9" t="n">
        <f aca="false">IF(AND(N(G253)&gt;0,N(M253)&gt;0),G253/M253,"")</f>
        <v>0.25997310623039</v>
      </c>
      <c r="P253" s="7" t="n">
        <v>11500</v>
      </c>
      <c r="Q253" s="7" t="n">
        <v>11155</v>
      </c>
      <c r="R253" s="4" t="s">
        <v>65</v>
      </c>
      <c r="S253" s="7"/>
      <c r="T253" s="7"/>
      <c r="U253" s="7"/>
      <c r="V253" s="7"/>
      <c r="W253" s="10" t="s">
        <v>31</v>
      </c>
      <c r="X253" s="10" t="s">
        <v>31</v>
      </c>
    </row>
    <row r="254" customFormat="false" ht="15" hidden="false" customHeight="true" outlineLevel="0" collapsed="false">
      <c r="A254" s="3" t="s">
        <v>917</v>
      </c>
      <c r="B254" s="3" t="s">
        <v>918</v>
      </c>
      <c r="C254" s="3" t="s">
        <v>919</v>
      </c>
      <c r="D254" s="4"/>
      <c r="E254" s="4" t="s">
        <v>920</v>
      </c>
      <c r="F254" s="4" t="s">
        <v>235</v>
      </c>
      <c r="G254" s="11" t="n">
        <v>3400</v>
      </c>
      <c r="H254" s="12" t="s">
        <v>36</v>
      </c>
      <c r="I254" s="12" t="s">
        <v>37</v>
      </c>
      <c r="J254" s="4" t="n">
        <v>0</v>
      </c>
      <c r="K254" s="7" t="n">
        <v>23000</v>
      </c>
      <c r="L254" s="8" t="n">
        <v>0</v>
      </c>
      <c r="M254" s="7" t="n">
        <v>23000</v>
      </c>
      <c r="N254" s="7"/>
      <c r="O254" s="9" t="n">
        <f aca="false">IF(AND(N(G254)&gt;0,N(M254)&gt;0),G254/M254,"")</f>
        <v>0.147826086956522</v>
      </c>
      <c r="P254" s="7" t="n">
        <v>23000</v>
      </c>
      <c r="Q254" s="7" t="n">
        <v>23000</v>
      </c>
      <c r="R254" s="4" t="s">
        <v>65</v>
      </c>
      <c r="S254" s="7"/>
      <c r="T254" s="7"/>
      <c r="U254" s="7"/>
      <c r="V254" s="7"/>
      <c r="W254" s="10" t="s">
        <v>31</v>
      </c>
      <c r="X254" s="10" t="s">
        <v>31</v>
      </c>
    </row>
    <row r="255" customFormat="false" ht="15" hidden="false" customHeight="true" outlineLevel="0" collapsed="false">
      <c r="A255" s="3" t="s">
        <v>921</v>
      </c>
      <c r="B255" s="3" t="s">
        <v>922</v>
      </c>
      <c r="C255" s="3" t="s">
        <v>923</v>
      </c>
      <c r="D255" s="4"/>
      <c r="E255" s="4" t="s">
        <v>924</v>
      </c>
      <c r="F255" s="4" t="s">
        <v>235</v>
      </c>
      <c r="G255" s="5"/>
      <c r="H255" s="6"/>
      <c r="I255" s="6"/>
      <c r="J255" s="4" t="n">
        <v>0</v>
      </c>
      <c r="K255" s="7" t="n">
        <v>8500</v>
      </c>
      <c r="L255" s="8" t="n">
        <v>0</v>
      </c>
      <c r="M255" s="7" t="n">
        <v>8500</v>
      </c>
      <c r="N255" s="7"/>
      <c r="O255" s="9" t="str">
        <f aca="false">IF(AND(N(G255)&gt;0,N(M255)&gt;0),G255/M255,"")</f>
        <v/>
      </c>
      <c r="P255" s="7" t="n">
        <v>8500</v>
      </c>
      <c r="Q255" s="7" t="n">
        <v>8500</v>
      </c>
      <c r="R255" s="4" t="s">
        <v>65</v>
      </c>
      <c r="S255" s="7"/>
      <c r="T255" s="7"/>
      <c r="U255" s="7"/>
      <c r="V255" s="7"/>
      <c r="W255" s="10" t="s">
        <v>31</v>
      </c>
      <c r="X255" s="10" t="s">
        <v>31</v>
      </c>
    </row>
    <row r="256" customFormat="false" ht="15" hidden="false" customHeight="true" outlineLevel="0" collapsed="false">
      <c r="A256" s="3" t="s">
        <v>925</v>
      </c>
      <c r="B256" s="3" t="s">
        <v>926</v>
      </c>
      <c r="C256" s="3" t="s">
        <v>927</v>
      </c>
      <c r="D256" s="4"/>
      <c r="E256" s="4" t="s">
        <v>928</v>
      </c>
      <c r="F256" s="4" t="s">
        <v>235</v>
      </c>
      <c r="G256" s="11" t="n">
        <v>14500</v>
      </c>
      <c r="H256" s="12" t="s">
        <v>36</v>
      </c>
      <c r="I256" s="12" t="s">
        <v>37</v>
      </c>
      <c r="J256" s="4" t="n">
        <v>0</v>
      </c>
      <c r="K256" s="7" t="n">
        <v>38782</v>
      </c>
      <c r="L256" s="8" t="n">
        <v>0</v>
      </c>
      <c r="M256" s="7" t="n">
        <v>38782</v>
      </c>
      <c r="N256" s="7"/>
      <c r="O256" s="9" t="n">
        <f aca="false">IF(AND(N(G256)&gt;0,N(M256)&gt;0),G256/M256,"")</f>
        <v>0.373884791913774</v>
      </c>
      <c r="P256" s="7" t="n">
        <v>38782</v>
      </c>
      <c r="Q256" s="7" t="n">
        <v>38782</v>
      </c>
      <c r="R256" s="4" t="s">
        <v>65</v>
      </c>
      <c r="S256" s="7"/>
      <c r="T256" s="7"/>
      <c r="U256" s="7"/>
      <c r="V256" s="7"/>
      <c r="W256" s="10" t="s">
        <v>31</v>
      </c>
      <c r="X256" s="10" t="s">
        <v>31</v>
      </c>
    </row>
    <row r="257" customFormat="false" ht="15" hidden="false" customHeight="true" outlineLevel="0" collapsed="false">
      <c r="A257" s="3" t="s">
        <v>929</v>
      </c>
      <c r="B257" s="3" t="s">
        <v>930</v>
      </c>
      <c r="C257" s="3" t="s">
        <v>931</v>
      </c>
      <c r="D257" s="4"/>
      <c r="E257" s="4" t="s">
        <v>932</v>
      </c>
      <c r="F257" s="4" t="s">
        <v>235</v>
      </c>
      <c r="G257" s="5"/>
      <c r="H257" s="6"/>
      <c r="I257" s="6"/>
      <c r="J257" s="4" t="n">
        <v>0</v>
      </c>
      <c r="K257" s="7" t="n">
        <v>35625</v>
      </c>
      <c r="L257" s="8" t="n">
        <v>36</v>
      </c>
      <c r="M257" s="7" t="n">
        <v>22800</v>
      </c>
      <c r="N257" s="7"/>
      <c r="O257" s="9" t="str">
        <f aca="false">IF(AND(N(G257)&gt;0,N(M257)&gt;0),G257/M257,"")</f>
        <v/>
      </c>
      <c r="P257" s="7" t="n">
        <v>35625</v>
      </c>
      <c r="Q257" s="7" t="n">
        <v>22800</v>
      </c>
      <c r="R257" s="4" t="s">
        <v>65</v>
      </c>
      <c r="S257" s="7" t="n">
        <v>28390</v>
      </c>
      <c r="T257" s="7" t="n">
        <v>35625</v>
      </c>
      <c r="U257" s="7" t="n">
        <v>28490</v>
      </c>
      <c r="V257" s="7" t="n">
        <v>35625</v>
      </c>
      <c r="W257" s="10" t="s">
        <v>31</v>
      </c>
      <c r="X257" s="10" t="s">
        <v>31</v>
      </c>
    </row>
    <row r="258" customFormat="false" ht="15" hidden="false" customHeight="true" outlineLevel="0" collapsed="false">
      <c r="A258" s="3" t="s">
        <v>933</v>
      </c>
      <c r="B258" s="3" t="s">
        <v>934</v>
      </c>
      <c r="C258" s="3" t="s">
        <v>935</v>
      </c>
      <c r="D258" s="4"/>
      <c r="E258" s="4" t="s">
        <v>936</v>
      </c>
      <c r="F258" s="4" t="s">
        <v>235</v>
      </c>
      <c r="G258" s="11" t="n">
        <v>4700</v>
      </c>
      <c r="H258" s="12" t="s">
        <v>36</v>
      </c>
      <c r="I258" s="12" t="s">
        <v>37</v>
      </c>
      <c r="J258" s="4" t="n">
        <v>0</v>
      </c>
      <c r="K258" s="7" t="n">
        <v>22000</v>
      </c>
      <c r="L258" s="8" t="n">
        <v>0</v>
      </c>
      <c r="M258" s="7" t="n">
        <v>22000</v>
      </c>
      <c r="N258" s="7"/>
      <c r="O258" s="9" t="n">
        <f aca="false">IF(AND(N(G258)&gt;0,N(M258)&gt;0),G258/M258,"")</f>
        <v>0.213636363636364</v>
      </c>
      <c r="P258" s="7" t="n">
        <v>22000</v>
      </c>
      <c r="Q258" s="7" t="n">
        <v>22000</v>
      </c>
      <c r="R258" s="4" t="s">
        <v>65</v>
      </c>
      <c r="S258" s="7"/>
      <c r="T258" s="7"/>
      <c r="U258" s="7"/>
      <c r="V258" s="7"/>
      <c r="W258" s="10" t="s">
        <v>31</v>
      </c>
      <c r="X258" s="10" t="s">
        <v>31</v>
      </c>
    </row>
    <row r="259" customFormat="false" ht="15" hidden="false" customHeight="true" outlineLevel="0" collapsed="false">
      <c r="A259" s="3" t="s">
        <v>937</v>
      </c>
      <c r="B259" s="3" t="s">
        <v>938</v>
      </c>
      <c r="C259" s="3" t="s">
        <v>939</v>
      </c>
      <c r="D259" s="4"/>
      <c r="E259" s="4" t="s">
        <v>940</v>
      </c>
      <c r="F259" s="4" t="s">
        <v>235</v>
      </c>
      <c r="G259" s="11" t="n">
        <v>6000</v>
      </c>
      <c r="H259" s="12" t="s">
        <v>36</v>
      </c>
      <c r="I259" s="12" t="s">
        <v>37</v>
      </c>
      <c r="J259" s="4" t="n">
        <v>0</v>
      </c>
      <c r="K259" s="7" t="n">
        <v>26400</v>
      </c>
      <c r="L259" s="8" t="n">
        <v>0</v>
      </c>
      <c r="M259" s="7" t="n">
        <v>26400</v>
      </c>
      <c r="N259" s="7"/>
      <c r="O259" s="9" t="n">
        <f aca="false">IF(AND(N(G259)&gt;0,N(M259)&gt;0),G259/M259,"")</f>
        <v>0.227272727272727</v>
      </c>
      <c r="P259" s="7" t="n">
        <v>26400</v>
      </c>
      <c r="Q259" s="7" t="n">
        <v>26400</v>
      </c>
      <c r="R259" s="4" t="s">
        <v>65</v>
      </c>
      <c r="S259" s="7"/>
      <c r="T259" s="7"/>
      <c r="U259" s="7"/>
      <c r="V259" s="7"/>
      <c r="W259" s="10" t="s">
        <v>31</v>
      </c>
      <c r="X259" s="10" t="s">
        <v>31</v>
      </c>
    </row>
    <row r="260" customFormat="false" ht="15" hidden="false" customHeight="true" outlineLevel="0" collapsed="false">
      <c r="A260" s="3" t="s">
        <v>941</v>
      </c>
      <c r="B260" s="3" t="s">
        <v>942</v>
      </c>
      <c r="C260" s="3" t="s">
        <v>943</v>
      </c>
      <c r="D260" s="4"/>
      <c r="E260" s="4" t="s">
        <v>944</v>
      </c>
      <c r="F260" s="4" t="s">
        <v>235</v>
      </c>
      <c r="G260" s="5"/>
      <c r="H260" s="6"/>
      <c r="I260" s="6"/>
      <c r="J260" s="4" t="n">
        <v>0</v>
      </c>
      <c r="K260" s="7" t="n">
        <v>8500</v>
      </c>
      <c r="L260" s="8" t="n">
        <v>0</v>
      </c>
      <c r="M260" s="7" t="n">
        <v>8500</v>
      </c>
      <c r="N260" s="7"/>
      <c r="O260" s="9" t="str">
        <f aca="false">IF(AND(N(G260)&gt;0,N(M260)&gt;0),G260/M260,"")</f>
        <v/>
      </c>
      <c r="P260" s="7" t="n">
        <v>8500</v>
      </c>
      <c r="Q260" s="7" t="n">
        <v>8500</v>
      </c>
      <c r="R260" s="4" t="s">
        <v>65</v>
      </c>
      <c r="S260" s="7"/>
      <c r="T260" s="7"/>
      <c r="U260" s="7"/>
      <c r="V260" s="7"/>
      <c r="W260" s="10" t="s">
        <v>31</v>
      </c>
      <c r="X260" s="10" t="s">
        <v>31</v>
      </c>
    </row>
    <row r="261" customFormat="false" ht="15" hidden="false" customHeight="true" outlineLevel="0" collapsed="false">
      <c r="A261" s="3" t="s">
        <v>945</v>
      </c>
      <c r="B261" s="3" t="s">
        <v>946</v>
      </c>
      <c r="C261" s="3" t="s">
        <v>947</v>
      </c>
      <c r="D261" s="4"/>
      <c r="E261" s="4" t="s">
        <v>255</v>
      </c>
      <c r="F261" s="4" t="s">
        <v>235</v>
      </c>
      <c r="G261" s="5"/>
      <c r="H261" s="6"/>
      <c r="I261" s="6"/>
      <c r="J261" s="4" t="n">
        <v>0</v>
      </c>
      <c r="K261" s="7" t="n">
        <v>22900</v>
      </c>
      <c r="L261" s="8" t="n">
        <v>40</v>
      </c>
      <c r="M261" s="7" t="n">
        <v>13740</v>
      </c>
      <c r="N261" s="7"/>
      <c r="O261" s="9" t="str">
        <f aca="false">IF(AND(N(G261)&gt;0,N(M261)&gt;0),G261/M261,"")</f>
        <v/>
      </c>
      <c r="P261" s="7" t="n">
        <v>22900</v>
      </c>
      <c r="Q261" s="7" t="n">
        <v>13740</v>
      </c>
      <c r="R261" s="4" t="s">
        <v>30</v>
      </c>
      <c r="S261" s="7" t="n">
        <v>15960</v>
      </c>
      <c r="T261" s="7" t="n">
        <v>22900</v>
      </c>
      <c r="U261" s="7" t="n">
        <v>16000</v>
      </c>
      <c r="V261" s="7" t="n">
        <v>22900</v>
      </c>
      <c r="W261" s="10" t="s">
        <v>31</v>
      </c>
      <c r="X261" s="10" t="s">
        <v>31</v>
      </c>
    </row>
    <row r="262" customFormat="false" ht="15" hidden="false" customHeight="true" outlineLevel="0" collapsed="false">
      <c r="A262" s="3" t="s">
        <v>948</v>
      </c>
      <c r="B262" s="3" t="s">
        <v>949</v>
      </c>
      <c r="C262" s="3" t="s">
        <v>950</v>
      </c>
      <c r="D262" s="4"/>
      <c r="E262" s="4" t="s">
        <v>255</v>
      </c>
      <c r="F262" s="4" t="s">
        <v>235</v>
      </c>
      <c r="G262" s="11" t="n">
        <v>3000</v>
      </c>
      <c r="H262" s="12" t="s">
        <v>36</v>
      </c>
      <c r="I262" s="12" t="s">
        <v>37</v>
      </c>
      <c r="J262" s="4" t="n">
        <v>0</v>
      </c>
      <c r="K262" s="7" t="n">
        <v>22000</v>
      </c>
      <c r="L262" s="8" t="n">
        <v>50</v>
      </c>
      <c r="M262" s="7" t="n">
        <v>11000</v>
      </c>
      <c r="N262" s="7"/>
      <c r="O262" s="9" t="n">
        <f aca="false">IF(AND(N(G262)&gt;0,N(M262)&gt;0),G262/M262,"")</f>
        <v>0.272727272727273</v>
      </c>
      <c r="P262" s="7" t="n">
        <v>22000</v>
      </c>
      <c r="Q262" s="7" t="n">
        <v>11000</v>
      </c>
      <c r="R262" s="4" t="s">
        <v>65</v>
      </c>
      <c r="S262" s="7" t="n">
        <v>15090</v>
      </c>
      <c r="T262" s="7" t="n">
        <v>22000</v>
      </c>
      <c r="U262" s="7" t="n">
        <v>15190</v>
      </c>
      <c r="V262" s="7" t="n">
        <v>22000</v>
      </c>
      <c r="W262" s="10" t="s">
        <v>31</v>
      </c>
      <c r="X262" s="10" t="s">
        <v>31</v>
      </c>
    </row>
    <row r="263" customFormat="false" ht="15" hidden="false" customHeight="true" outlineLevel="0" collapsed="false">
      <c r="A263" s="3" t="s">
        <v>951</v>
      </c>
      <c r="B263" s="3" t="s">
        <v>952</v>
      </c>
      <c r="C263" s="3" t="s">
        <v>953</v>
      </c>
      <c r="D263" s="4"/>
      <c r="E263" s="4" t="s">
        <v>954</v>
      </c>
      <c r="F263" s="4" t="s">
        <v>235</v>
      </c>
      <c r="G263" s="11" t="n">
        <v>1100</v>
      </c>
      <c r="H263" s="12" t="s">
        <v>36</v>
      </c>
      <c r="I263" s="12" t="s">
        <v>37</v>
      </c>
      <c r="J263" s="4" t="n">
        <v>0</v>
      </c>
      <c r="K263" s="7" t="n">
        <v>10800</v>
      </c>
      <c r="L263" s="8" t="n">
        <v>0</v>
      </c>
      <c r="M263" s="7" t="n">
        <v>10800</v>
      </c>
      <c r="N263" s="7"/>
      <c r="O263" s="9" t="n">
        <f aca="false">IF(AND(N(G263)&gt;0,N(M263)&gt;0),G263/M263,"")</f>
        <v>0.101851851851852</v>
      </c>
      <c r="P263" s="7" t="n">
        <v>10800</v>
      </c>
      <c r="Q263" s="7" t="n">
        <v>10800</v>
      </c>
      <c r="R263" s="4" t="s">
        <v>65</v>
      </c>
      <c r="S263" s="7"/>
      <c r="T263" s="7"/>
      <c r="U263" s="7"/>
      <c r="V263" s="7"/>
      <c r="W263" s="10" t="s">
        <v>31</v>
      </c>
      <c r="X263" s="10" t="s">
        <v>31</v>
      </c>
    </row>
    <row r="264" customFormat="false" ht="15" hidden="false" customHeight="true" outlineLevel="0" collapsed="false">
      <c r="A264" s="3" t="s">
        <v>955</v>
      </c>
      <c r="B264" s="3" t="s">
        <v>956</v>
      </c>
      <c r="C264" s="3" t="s">
        <v>957</v>
      </c>
      <c r="D264" s="4"/>
      <c r="E264" s="4" t="s">
        <v>958</v>
      </c>
      <c r="F264" s="4" t="s">
        <v>235</v>
      </c>
      <c r="G264" s="5"/>
      <c r="H264" s="6"/>
      <c r="I264" s="6"/>
      <c r="J264" s="4" t="n">
        <v>0</v>
      </c>
      <c r="K264" s="7" t="n">
        <v>4470</v>
      </c>
      <c r="L264" s="8" t="n">
        <v>0</v>
      </c>
      <c r="M264" s="7" t="n">
        <v>4470</v>
      </c>
      <c r="N264" s="7"/>
      <c r="O264" s="9" t="str">
        <f aca="false">IF(AND(N(G264)&gt;0,N(M264)&gt;0),G264/M264,"")</f>
        <v/>
      </c>
      <c r="P264" s="7" t="n">
        <v>4470</v>
      </c>
      <c r="Q264" s="7" t="n">
        <v>4470</v>
      </c>
      <c r="R264" s="4" t="s">
        <v>65</v>
      </c>
      <c r="S264" s="7"/>
      <c r="T264" s="7"/>
      <c r="U264" s="7"/>
      <c r="V264" s="7"/>
      <c r="W264" s="10" t="s">
        <v>31</v>
      </c>
      <c r="X264" s="10" t="s">
        <v>31</v>
      </c>
    </row>
    <row r="265" customFormat="false" ht="15" hidden="false" customHeight="true" outlineLevel="0" collapsed="false">
      <c r="A265" s="3" t="s">
        <v>959</v>
      </c>
      <c r="B265" s="3" t="s">
        <v>960</v>
      </c>
      <c r="C265" s="3" t="s">
        <v>961</v>
      </c>
      <c r="D265" s="4"/>
      <c r="E265" s="4" t="s">
        <v>962</v>
      </c>
      <c r="F265" s="4" t="s">
        <v>235</v>
      </c>
      <c r="G265" s="11" t="n">
        <v>1100</v>
      </c>
      <c r="H265" s="12" t="s">
        <v>36</v>
      </c>
      <c r="I265" s="12" t="s">
        <v>37</v>
      </c>
      <c r="J265" s="4" t="n">
        <v>0</v>
      </c>
      <c r="K265" s="7" t="n">
        <v>7800</v>
      </c>
      <c r="L265" s="8" t="n">
        <v>0</v>
      </c>
      <c r="M265" s="7" t="n">
        <v>7800</v>
      </c>
      <c r="N265" s="7"/>
      <c r="O265" s="9" t="n">
        <f aca="false">IF(AND(N(G265)&gt;0,N(M265)&gt;0),G265/M265,"")</f>
        <v>0.141025641025641</v>
      </c>
      <c r="P265" s="7" t="n">
        <v>7800</v>
      </c>
      <c r="Q265" s="7" t="n">
        <v>7800</v>
      </c>
      <c r="R265" s="4" t="s">
        <v>65</v>
      </c>
      <c r="S265" s="7"/>
      <c r="T265" s="7"/>
      <c r="U265" s="7"/>
      <c r="V265" s="7"/>
      <c r="W265" s="10" t="s">
        <v>31</v>
      </c>
      <c r="X265" s="10" t="s">
        <v>31</v>
      </c>
    </row>
    <row r="266" customFormat="false" ht="15" hidden="false" customHeight="true" outlineLevel="0" collapsed="false">
      <c r="A266" s="3" t="s">
        <v>963</v>
      </c>
      <c r="B266" s="3" t="s">
        <v>964</v>
      </c>
      <c r="C266" s="3" t="s">
        <v>965</v>
      </c>
      <c r="D266" s="4"/>
      <c r="E266" s="4" t="s">
        <v>808</v>
      </c>
      <c r="F266" s="4" t="s">
        <v>235</v>
      </c>
      <c r="G266" s="5"/>
      <c r="H266" s="6"/>
      <c r="I266" s="6"/>
      <c r="J266" s="4" t="n">
        <v>0</v>
      </c>
      <c r="K266" s="7" t="n">
        <v>4850</v>
      </c>
      <c r="L266" s="8" t="n">
        <v>0</v>
      </c>
      <c r="M266" s="7" t="n">
        <v>4850</v>
      </c>
      <c r="N266" s="7"/>
      <c r="O266" s="9" t="str">
        <f aca="false">IF(AND(N(G266)&gt;0,N(M266)&gt;0),G266/M266,"")</f>
        <v/>
      </c>
      <c r="P266" s="7" t="n">
        <v>4850</v>
      </c>
      <c r="Q266" s="7" t="n">
        <v>4850</v>
      </c>
      <c r="R266" s="4" t="s">
        <v>65</v>
      </c>
      <c r="S266" s="7"/>
      <c r="T266" s="7"/>
      <c r="U266" s="7"/>
      <c r="V266" s="7"/>
      <c r="W266" s="10" t="s">
        <v>31</v>
      </c>
      <c r="X266" s="10" t="s">
        <v>31</v>
      </c>
    </row>
    <row r="267" customFormat="false" ht="15" hidden="false" customHeight="true" outlineLevel="0" collapsed="false">
      <c r="A267" s="3" t="s">
        <v>966</v>
      </c>
      <c r="B267" s="3" t="s">
        <v>967</v>
      </c>
      <c r="C267" s="3" t="s">
        <v>968</v>
      </c>
      <c r="D267" s="4"/>
      <c r="E267" s="4" t="s">
        <v>808</v>
      </c>
      <c r="F267" s="4" t="s">
        <v>235</v>
      </c>
      <c r="G267" s="5"/>
      <c r="H267" s="6"/>
      <c r="I267" s="6"/>
      <c r="J267" s="4" t="n">
        <v>0</v>
      </c>
      <c r="K267" s="7" t="n">
        <v>4850</v>
      </c>
      <c r="L267" s="8" t="n">
        <v>0</v>
      </c>
      <c r="M267" s="7" t="n">
        <v>4850</v>
      </c>
      <c r="N267" s="7"/>
      <c r="O267" s="9" t="str">
        <f aca="false">IF(AND(N(G267)&gt;0,N(M267)&gt;0),G267/M267,"")</f>
        <v/>
      </c>
      <c r="P267" s="7" t="n">
        <v>4850</v>
      </c>
      <c r="Q267" s="7" t="n">
        <v>4850</v>
      </c>
      <c r="R267" s="4" t="s">
        <v>65</v>
      </c>
      <c r="S267" s="7"/>
      <c r="T267" s="7"/>
      <c r="U267" s="7"/>
      <c r="V267" s="7"/>
      <c r="W267" s="10" t="s">
        <v>31</v>
      </c>
      <c r="X267" s="10" t="s">
        <v>31</v>
      </c>
    </row>
    <row r="268" customFormat="false" ht="15" hidden="false" customHeight="true" outlineLevel="0" collapsed="false">
      <c r="A268" s="3" t="s">
        <v>969</v>
      </c>
      <c r="B268" s="3" t="s">
        <v>970</v>
      </c>
      <c r="C268" s="3" t="s">
        <v>971</v>
      </c>
      <c r="D268" s="4"/>
      <c r="E268" s="4" t="s">
        <v>808</v>
      </c>
      <c r="F268" s="4" t="s">
        <v>235</v>
      </c>
      <c r="G268" s="11" t="n">
        <v>1150</v>
      </c>
      <c r="H268" s="12" t="s">
        <v>36</v>
      </c>
      <c r="I268" s="12" t="s">
        <v>37</v>
      </c>
      <c r="J268" s="4" t="n">
        <v>0</v>
      </c>
      <c r="K268" s="7" t="n">
        <v>7370</v>
      </c>
      <c r="L268" s="8" t="n">
        <v>0</v>
      </c>
      <c r="M268" s="7" t="n">
        <v>7370</v>
      </c>
      <c r="N268" s="7"/>
      <c r="O268" s="9" t="n">
        <f aca="false">IF(AND(N(G268)&gt;0,N(M268)&gt;0),G268/M268,"")</f>
        <v>0.156037991858887</v>
      </c>
      <c r="P268" s="7" t="n">
        <v>7370</v>
      </c>
      <c r="Q268" s="7" t="n">
        <v>7370</v>
      </c>
      <c r="R268" s="4" t="s">
        <v>65</v>
      </c>
      <c r="S268" s="7"/>
      <c r="T268" s="7"/>
      <c r="U268" s="7"/>
      <c r="V268" s="7"/>
      <c r="W268" s="10" t="s">
        <v>31</v>
      </c>
      <c r="X268" s="10" t="s">
        <v>31</v>
      </c>
    </row>
    <row r="269" customFormat="false" ht="15" hidden="false" customHeight="true" outlineLevel="0" collapsed="false">
      <c r="A269" s="3" t="s">
        <v>972</v>
      </c>
      <c r="B269" s="3" t="s">
        <v>973</v>
      </c>
      <c r="C269" s="3" t="s">
        <v>974</v>
      </c>
      <c r="D269" s="4"/>
      <c r="E269" s="4" t="s">
        <v>808</v>
      </c>
      <c r="F269" s="4" t="s">
        <v>235</v>
      </c>
      <c r="G269" s="5"/>
      <c r="H269" s="6"/>
      <c r="I269" s="6"/>
      <c r="J269" s="4" t="n">
        <v>0</v>
      </c>
      <c r="K269" s="7" t="n">
        <v>9900</v>
      </c>
      <c r="L269" s="8" t="n">
        <v>0</v>
      </c>
      <c r="M269" s="7" t="n">
        <v>9900</v>
      </c>
      <c r="N269" s="7"/>
      <c r="O269" s="9" t="str">
        <f aca="false">IF(AND(N(G269)&gt;0,N(M269)&gt;0),G269/M269,"")</f>
        <v/>
      </c>
      <c r="P269" s="7" t="n">
        <v>9900</v>
      </c>
      <c r="Q269" s="7" t="n">
        <v>9900</v>
      </c>
      <c r="R269" s="4" t="s">
        <v>65</v>
      </c>
      <c r="S269" s="7"/>
      <c r="T269" s="7"/>
      <c r="U269" s="7"/>
      <c r="V269" s="7"/>
      <c r="W269" s="10" t="s">
        <v>31</v>
      </c>
      <c r="X269" s="10" t="s">
        <v>31</v>
      </c>
    </row>
    <row r="270" customFormat="false" ht="15" hidden="false" customHeight="true" outlineLevel="0" collapsed="false">
      <c r="A270" s="3" t="s">
        <v>975</v>
      </c>
      <c r="B270" s="3" t="s">
        <v>976</v>
      </c>
      <c r="C270" s="3" t="s">
        <v>977</v>
      </c>
      <c r="D270" s="4"/>
      <c r="E270" s="4" t="s">
        <v>808</v>
      </c>
      <c r="F270" s="4" t="s">
        <v>235</v>
      </c>
      <c r="G270" s="5"/>
      <c r="H270" s="6"/>
      <c r="I270" s="6"/>
      <c r="J270" s="4" t="n">
        <v>0</v>
      </c>
      <c r="K270" s="7" t="n">
        <v>8800</v>
      </c>
      <c r="L270" s="8" t="n">
        <v>0</v>
      </c>
      <c r="M270" s="7" t="n">
        <v>8800</v>
      </c>
      <c r="N270" s="7"/>
      <c r="O270" s="9" t="str">
        <f aca="false">IF(AND(N(G270)&gt;0,N(M270)&gt;0),G270/M270,"")</f>
        <v/>
      </c>
      <c r="P270" s="7" t="n">
        <v>8800</v>
      </c>
      <c r="Q270" s="7" t="n">
        <v>8800</v>
      </c>
      <c r="R270" s="4" t="s">
        <v>65</v>
      </c>
      <c r="S270" s="7"/>
      <c r="T270" s="7"/>
      <c r="U270" s="7"/>
      <c r="V270" s="7"/>
      <c r="W270" s="10" t="s">
        <v>31</v>
      </c>
      <c r="X270" s="10" t="s">
        <v>31</v>
      </c>
    </row>
    <row r="271" customFormat="false" ht="15" hidden="false" customHeight="true" outlineLevel="0" collapsed="false">
      <c r="A271" s="3" t="s">
        <v>978</v>
      </c>
      <c r="B271" s="3" t="s">
        <v>979</v>
      </c>
      <c r="C271" s="3" t="s">
        <v>980</v>
      </c>
      <c r="D271" s="4"/>
      <c r="E271" s="4" t="s">
        <v>808</v>
      </c>
      <c r="F271" s="4" t="s">
        <v>235</v>
      </c>
      <c r="G271" s="5"/>
      <c r="H271" s="6"/>
      <c r="I271" s="6"/>
      <c r="J271" s="4" t="n">
        <v>0</v>
      </c>
      <c r="K271" s="7" t="n">
        <v>9250</v>
      </c>
      <c r="L271" s="8" t="n">
        <v>0</v>
      </c>
      <c r="M271" s="7" t="n">
        <v>9250</v>
      </c>
      <c r="N271" s="7"/>
      <c r="O271" s="9" t="str">
        <f aca="false">IF(AND(N(G271)&gt;0,N(M271)&gt;0),G271/M271,"")</f>
        <v/>
      </c>
      <c r="P271" s="7" t="n">
        <v>9250</v>
      </c>
      <c r="Q271" s="7" t="n">
        <v>9250</v>
      </c>
      <c r="R271" s="4" t="s">
        <v>65</v>
      </c>
      <c r="S271" s="7"/>
      <c r="T271" s="7"/>
      <c r="U271" s="7"/>
      <c r="V271" s="7"/>
      <c r="W271" s="10" t="s">
        <v>31</v>
      </c>
      <c r="X271" s="10" t="s">
        <v>31</v>
      </c>
    </row>
    <row r="272" customFormat="false" ht="15" hidden="false" customHeight="true" outlineLevel="0" collapsed="false">
      <c r="A272" s="3" t="s">
        <v>981</v>
      </c>
      <c r="B272" s="3" t="s">
        <v>982</v>
      </c>
      <c r="C272" s="3" t="s">
        <v>983</v>
      </c>
      <c r="D272" s="4"/>
      <c r="E272" s="4" t="s">
        <v>808</v>
      </c>
      <c r="F272" s="4" t="s">
        <v>235</v>
      </c>
      <c r="G272" s="11" t="n">
        <v>1150</v>
      </c>
      <c r="H272" s="12" t="s">
        <v>36</v>
      </c>
      <c r="I272" s="12" t="s">
        <v>37</v>
      </c>
      <c r="J272" s="4" t="n">
        <v>0</v>
      </c>
      <c r="K272" s="7" t="n">
        <v>8030</v>
      </c>
      <c r="L272" s="8" t="n">
        <v>0</v>
      </c>
      <c r="M272" s="7" t="n">
        <v>8030</v>
      </c>
      <c r="N272" s="7"/>
      <c r="O272" s="9" t="n">
        <f aca="false">IF(AND(N(G272)&gt;0,N(M272)&gt;0),G272/M272,"")</f>
        <v>0.14321295143213</v>
      </c>
      <c r="P272" s="7" t="n">
        <v>8030</v>
      </c>
      <c r="Q272" s="7" t="n">
        <v>8030</v>
      </c>
      <c r="R272" s="4" t="s">
        <v>65</v>
      </c>
      <c r="S272" s="7"/>
      <c r="T272" s="7"/>
      <c r="U272" s="7"/>
      <c r="V272" s="7"/>
      <c r="W272" s="10" t="s">
        <v>31</v>
      </c>
      <c r="X272" s="10" t="s">
        <v>31</v>
      </c>
    </row>
    <row r="273" customFormat="false" ht="15" hidden="false" customHeight="true" outlineLevel="0" collapsed="false">
      <c r="A273" s="3" t="s">
        <v>984</v>
      </c>
      <c r="B273" s="3" t="s">
        <v>985</v>
      </c>
      <c r="C273" s="3" t="s">
        <v>986</v>
      </c>
      <c r="D273" s="4"/>
      <c r="E273" s="4" t="s">
        <v>808</v>
      </c>
      <c r="F273" s="4" t="s">
        <v>235</v>
      </c>
      <c r="G273" s="5"/>
      <c r="H273" s="6"/>
      <c r="I273" s="6"/>
      <c r="J273" s="4" t="n">
        <v>0</v>
      </c>
      <c r="K273" s="7" t="n">
        <v>7040</v>
      </c>
      <c r="L273" s="8" t="n">
        <v>0</v>
      </c>
      <c r="M273" s="7" t="n">
        <v>7040</v>
      </c>
      <c r="N273" s="7"/>
      <c r="O273" s="9" t="str">
        <f aca="false">IF(AND(N(G273)&gt;0,N(M273)&gt;0),G273/M273,"")</f>
        <v/>
      </c>
      <c r="P273" s="7" t="n">
        <v>7040</v>
      </c>
      <c r="Q273" s="7" t="n">
        <v>7040</v>
      </c>
      <c r="R273" s="4" t="s">
        <v>65</v>
      </c>
      <c r="S273" s="7"/>
      <c r="T273" s="7"/>
      <c r="U273" s="7"/>
      <c r="V273" s="7"/>
      <c r="W273" s="10" t="s">
        <v>31</v>
      </c>
      <c r="X273" s="10" t="s">
        <v>31</v>
      </c>
    </row>
    <row r="274" customFormat="false" ht="15" hidden="false" customHeight="true" outlineLevel="0" collapsed="false">
      <c r="A274" s="3" t="s">
        <v>987</v>
      </c>
      <c r="B274" s="3" t="s">
        <v>988</v>
      </c>
      <c r="C274" s="3" t="s">
        <v>989</v>
      </c>
      <c r="D274" s="4"/>
      <c r="E274" s="4" t="s">
        <v>808</v>
      </c>
      <c r="F274" s="4" t="s">
        <v>235</v>
      </c>
      <c r="G274" s="5"/>
      <c r="H274" s="6"/>
      <c r="I274" s="6"/>
      <c r="J274" s="4" t="n">
        <v>0</v>
      </c>
      <c r="K274" s="7" t="n">
        <v>8250</v>
      </c>
      <c r="L274" s="8" t="n">
        <v>0</v>
      </c>
      <c r="M274" s="7" t="n">
        <v>8250</v>
      </c>
      <c r="N274" s="7"/>
      <c r="O274" s="9" t="str">
        <f aca="false">IF(AND(N(G274)&gt;0,N(M274)&gt;0),G274/M274,"")</f>
        <v/>
      </c>
      <c r="P274" s="7" t="n">
        <v>8250</v>
      </c>
      <c r="Q274" s="7" t="n">
        <v>8250</v>
      </c>
      <c r="R274" s="4" t="s">
        <v>65</v>
      </c>
      <c r="S274" s="7"/>
      <c r="T274" s="7"/>
      <c r="U274" s="7"/>
      <c r="V274" s="7"/>
      <c r="W274" s="10" t="s">
        <v>31</v>
      </c>
      <c r="X274" s="10" t="s">
        <v>31</v>
      </c>
    </row>
    <row r="275" customFormat="false" ht="15" hidden="false" customHeight="true" outlineLevel="0" collapsed="false">
      <c r="A275" s="3" t="s">
        <v>990</v>
      </c>
      <c r="B275" s="3" t="s">
        <v>991</v>
      </c>
      <c r="C275" s="3" t="s">
        <v>992</v>
      </c>
      <c r="D275" s="4"/>
      <c r="E275" s="4" t="s">
        <v>808</v>
      </c>
      <c r="F275" s="4" t="s">
        <v>235</v>
      </c>
      <c r="G275" s="5"/>
      <c r="H275" s="6"/>
      <c r="I275" s="6"/>
      <c r="J275" s="4" t="n">
        <v>0</v>
      </c>
      <c r="K275" s="7" t="n">
        <v>5250</v>
      </c>
      <c r="L275" s="8" t="n">
        <v>0</v>
      </c>
      <c r="M275" s="7" t="n">
        <v>5250</v>
      </c>
      <c r="N275" s="7"/>
      <c r="O275" s="9" t="str">
        <f aca="false">IF(AND(N(G275)&gt;0,N(M275)&gt;0),G275/M275,"")</f>
        <v/>
      </c>
      <c r="P275" s="7" t="n">
        <v>5250</v>
      </c>
      <c r="Q275" s="7" t="n">
        <v>5250</v>
      </c>
      <c r="R275" s="4" t="s">
        <v>65</v>
      </c>
      <c r="S275" s="7"/>
      <c r="T275" s="7"/>
      <c r="U275" s="7"/>
      <c r="V275" s="7"/>
      <c r="W275" s="10" t="s">
        <v>31</v>
      </c>
      <c r="X275" s="10" t="s">
        <v>31</v>
      </c>
    </row>
    <row r="276" customFormat="false" ht="15" hidden="false" customHeight="true" outlineLevel="0" collapsed="false">
      <c r="A276" s="3" t="s">
        <v>993</v>
      </c>
      <c r="B276" s="3" t="s">
        <v>994</v>
      </c>
      <c r="C276" s="3" t="s">
        <v>995</v>
      </c>
      <c r="D276" s="4"/>
      <c r="E276" s="4" t="s">
        <v>996</v>
      </c>
      <c r="F276" s="4" t="s">
        <v>235</v>
      </c>
      <c r="G276" s="11" t="n">
        <v>1300</v>
      </c>
      <c r="H276" s="12" t="s">
        <v>36</v>
      </c>
      <c r="I276" s="12" t="s">
        <v>37</v>
      </c>
      <c r="J276" s="4" t="n">
        <v>0</v>
      </c>
      <c r="K276" s="7" t="n">
        <v>9000</v>
      </c>
      <c r="L276" s="8" t="n">
        <v>0</v>
      </c>
      <c r="M276" s="7" t="n">
        <v>9000</v>
      </c>
      <c r="N276" s="7"/>
      <c r="O276" s="9" t="n">
        <f aca="false">IF(AND(N(G276)&gt;0,N(M276)&gt;0),G276/M276,"")</f>
        <v>0.144444444444444</v>
      </c>
      <c r="P276" s="7" t="n">
        <v>9000</v>
      </c>
      <c r="Q276" s="7" t="n">
        <v>9000</v>
      </c>
      <c r="R276" s="4" t="s">
        <v>65</v>
      </c>
      <c r="S276" s="7"/>
      <c r="T276" s="7"/>
      <c r="U276" s="7"/>
      <c r="V276" s="7"/>
      <c r="W276" s="10" t="s">
        <v>31</v>
      </c>
      <c r="X276" s="10" t="s">
        <v>31</v>
      </c>
    </row>
    <row r="277" customFormat="false" ht="15" hidden="false" customHeight="true" outlineLevel="0" collapsed="false">
      <c r="A277" s="3" t="s">
        <v>997</v>
      </c>
      <c r="B277" s="3" t="s">
        <v>998</v>
      </c>
      <c r="C277" s="3" t="s">
        <v>999</v>
      </c>
      <c r="D277" s="4"/>
      <c r="E277" s="4" t="s">
        <v>1000</v>
      </c>
      <c r="F277" s="4" t="s">
        <v>235</v>
      </c>
      <c r="G277" s="5"/>
      <c r="H277" s="6"/>
      <c r="I277" s="6"/>
      <c r="J277" s="4" t="n">
        <v>0</v>
      </c>
      <c r="K277" s="7" t="n">
        <v>5100</v>
      </c>
      <c r="L277" s="8" t="n">
        <v>0</v>
      </c>
      <c r="M277" s="7" t="n">
        <v>5100</v>
      </c>
      <c r="N277" s="7"/>
      <c r="O277" s="9" t="str">
        <f aca="false">IF(AND(N(G277)&gt;0,N(M277)&gt;0),G277/M277,"")</f>
        <v/>
      </c>
      <c r="P277" s="7" t="n">
        <v>5100</v>
      </c>
      <c r="Q277" s="7" t="n">
        <v>5100</v>
      </c>
      <c r="R277" s="4" t="s">
        <v>65</v>
      </c>
      <c r="S277" s="7"/>
      <c r="T277" s="7"/>
      <c r="U277" s="7"/>
      <c r="V277" s="7"/>
      <c r="W277" s="10" t="s">
        <v>31</v>
      </c>
      <c r="X277" s="10" t="s">
        <v>31</v>
      </c>
    </row>
    <row r="278" customFormat="false" ht="15" hidden="false" customHeight="true" outlineLevel="0" collapsed="false">
      <c r="A278" s="3" t="s">
        <v>1001</v>
      </c>
      <c r="B278" s="3" t="s">
        <v>1002</v>
      </c>
      <c r="C278" s="3" t="s">
        <v>1003</v>
      </c>
      <c r="D278" s="4"/>
      <c r="E278" s="4" t="s">
        <v>1000</v>
      </c>
      <c r="F278" s="4" t="s">
        <v>235</v>
      </c>
      <c r="G278" s="5"/>
      <c r="H278" s="6"/>
      <c r="I278" s="6"/>
      <c r="J278" s="4" t="n">
        <v>0</v>
      </c>
      <c r="K278" s="7" t="n">
        <v>4900</v>
      </c>
      <c r="L278" s="8" t="n">
        <v>0</v>
      </c>
      <c r="M278" s="7" t="n">
        <v>4900</v>
      </c>
      <c r="N278" s="7"/>
      <c r="O278" s="9" t="str">
        <f aca="false">IF(AND(N(G278)&gt;0,N(M278)&gt;0),G278/M278,"")</f>
        <v/>
      </c>
      <c r="P278" s="7" t="n">
        <v>4900</v>
      </c>
      <c r="Q278" s="7" t="n">
        <v>4900</v>
      </c>
      <c r="R278" s="4" t="s">
        <v>65</v>
      </c>
      <c r="S278" s="7"/>
      <c r="T278" s="7"/>
      <c r="U278" s="7"/>
      <c r="V278" s="7"/>
      <c r="W278" s="10" t="s">
        <v>31</v>
      </c>
      <c r="X278" s="10" t="s">
        <v>31</v>
      </c>
    </row>
    <row r="279" customFormat="false" ht="15" hidden="false" customHeight="true" outlineLevel="0" collapsed="false">
      <c r="A279" s="3" t="s">
        <v>1004</v>
      </c>
      <c r="B279" s="3" t="s">
        <v>1005</v>
      </c>
      <c r="C279" s="3" t="s">
        <v>1006</v>
      </c>
      <c r="D279" s="4"/>
      <c r="E279" s="4" t="s">
        <v>1007</v>
      </c>
      <c r="F279" s="4" t="s">
        <v>235</v>
      </c>
      <c r="G279" s="5"/>
      <c r="H279" s="6"/>
      <c r="I279" s="6"/>
      <c r="J279" s="4" t="n">
        <v>0</v>
      </c>
      <c r="K279" s="7" t="n">
        <v>35000</v>
      </c>
      <c r="L279" s="8" t="n">
        <v>0</v>
      </c>
      <c r="M279" s="7" t="n">
        <v>35000</v>
      </c>
      <c r="N279" s="7"/>
      <c r="O279" s="9" t="str">
        <f aca="false">IF(AND(N(G279)&gt;0,N(M279)&gt;0),G279/M279,"")</f>
        <v/>
      </c>
      <c r="P279" s="7" t="n">
        <v>35000</v>
      </c>
      <c r="Q279" s="7" t="n">
        <v>35000</v>
      </c>
      <c r="R279" s="4" t="s">
        <v>65</v>
      </c>
      <c r="S279" s="7"/>
      <c r="T279" s="7"/>
      <c r="U279" s="7"/>
      <c r="V279" s="7"/>
      <c r="W279" s="10" t="s">
        <v>31</v>
      </c>
      <c r="X279" s="10" t="s">
        <v>31</v>
      </c>
    </row>
    <row r="280" customFormat="false" ht="15" hidden="false" customHeight="true" outlineLevel="0" collapsed="false">
      <c r="A280" s="3" t="s">
        <v>1008</v>
      </c>
      <c r="B280" s="3" t="s">
        <v>1009</v>
      </c>
      <c r="C280" s="3" t="s">
        <v>1010</v>
      </c>
      <c r="D280" s="4"/>
      <c r="E280" s="4" t="s">
        <v>1011</v>
      </c>
      <c r="F280" s="4" t="s">
        <v>235</v>
      </c>
      <c r="G280" s="5"/>
      <c r="H280" s="6"/>
      <c r="I280" s="6"/>
      <c r="J280" s="4" t="n">
        <v>0</v>
      </c>
      <c r="K280" s="7" t="n">
        <v>7150</v>
      </c>
      <c r="L280" s="8" t="n">
        <v>0</v>
      </c>
      <c r="M280" s="7" t="n">
        <v>7150</v>
      </c>
      <c r="N280" s="7"/>
      <c r="O280" s="9" t="str">
        <f aca="false">IF(AND(N(G280)&gt;0,N(M280)&gt;0),G280/M280,"")</f>
        <v/>
      </c>
      <c r="P280" s="7" t="n">
        <v>7150</v>
      </c>
      <c r="Q280" s="7" t="n">
        <v>7150</v>
      </c>
      <c r="R280" s="4" t="s">
        <v>65</v>
      </c>
      <c r="S280" s="7"/>
      <c r="T280" s="7"/>
      <c r="U280" s="7"/>
      <c r="V280" s="7"/>
      <c r="W280" s="10" t="s">
        <v>31</v>
      </c>
      <c r="X280" s="10" t="s">
        <v>31</v>
      </c>
    </row>
    <row r="281" customFormat="false" ht="15" hidden="false" customHeight="true" outlineLevel="0" collapsed="false">
      <c r="A281" s="3" t="s">
        <v>1012</v>
      </c>
      <c r="B281" s="3" t="s">
        <v>1013</v>
      </c>
      <c r="C281" s="3" t="s">
        <v>1014</v>
      </c>
      <c r="D281" s="4"/>
      <c r="E281" s="4" t="s">
        <v>1011</v>
      </c>
      <c r="F281" s="4" t="s">
        <v>235</v>
      </c>
      <c r="G281" s="11" t="n">
        <v>1150</v>
      </c>
      <c r="H281" s="12" t="s">
        <v>36</v>
      </c>
      <c r="I281" s="12" t="s">
        <v>37</v>
      </c>
      <c r="J281" s="4" t="n">
        <v>0</v>
      </c>
      <c r="K281" s="7" t="n">
        <v>7700</v>
      </c>
      <c r="L281" s="8" t="n">
        <v>0</v>
      </c>
      <c r="M281" s="7" t="n">
        <v>7700</v>
      </c>
      <c r="N281" s="7"/>
      <c r="O281" s="9" t="n">
        <f aca="false">IF(AND(N(G281)&gt;0,N(M281)&gt;0),G281/M281,"")</f>
        <v>0.149350649350649</v>
      </c>
      <c r="P281" s="7" t="n">
        <v>7700</v>
      </c>
      <c r="Q281" s="7" t="n">
        <v>7700</v>
      </c>
      <c r="R281" s="4" t="s">
        <v>65</v>
      </c>
      <c r="S281" s="7"/>
      <c r="T281" s="7"/>
      <c r="U281" s="7"/>
      <c r="V281" s="7"/>
      <c r="W281" s="10" t="s">
        <v>31</v>
      </c>
      <c r="X281" s="10" t="s">
        <v>31</v>
      </c>
    </row>
    <row r="282" customFormat="false" ht="15" hidden="false" customHeight="true" outlineLevel="0" collapsed="false">
      <c r="A282" s="3" t="s">
        <v>1015</v>
      </c>
      <c r="B282" s="3" t="s">
        <v>1016</v>
      </c>
      <c r="C282" s="3" t="s">
        <v>1017</v>
      </c>
      <c r="D282" s="4"/>
      <c r="E282" s="4" t="s">
        <v>1018</v>
      </c>
      <c r="F282" s="4" t="s">
        <v>235</v>
      </c>
      <c r="G282" s="11" t="n">
        <v>1100</v>
      </c>
      <c r="H282" s="12" t="s">
        <v>36</v>
      </c>
      <c r="I282" s="12" t="s">
        <v>37</v>
      </c>
      <c r="J282" s="4" t="n">
        <v>0</v>
      </c>
      <c r="K282" s="7" t="n">
        <v>6500</v>
      </c>
      <c r="L282" s="8" t="n">
        <v>0</v>
      </c>
      <c r="M282" s="7" t="n">
        <v>6500</v>
      </c>
      <c r="N282" s="7"/>
      <c r="O282" s="9" t="n">
        <f aca="false">IF(AND(N(G282)&gt;0,N(M282)&gt;0),G282/M282,"")</f>
        <v>0.169230769230769</v>
      </c>
      <c r="P282" s="7" t="n">
        <v>6500</v>
      </c>
      <c r="Q282" s="7" t="n">
        <v>6500</v>
      </c>
      <c r="R282" s="4" t="s">
        <v>65</v>
      </c>
      <c r="S282" s="7"/>
      <c r="T282" s="7"/>
      <c r="U282" s="7"/>
      <c r="V282" s="7"/>
      <c r="W282" s="10" t="s">
        <v>31</v>
      </c>
      <c r="X282" s="10" t="s">
        <v>31</v>
      </c>
    </row>
    <row r="283" customFormat="false" ht="15" hidden="false" customHeight="true" outlineLevel="0" collapsed="false">
      <c r="A283" s="3" t="s">
        <v>1019</v>
      </c>
      <c r="B283" s="3" t="s">
        <v>1020</v>
      </c>
      <c r="C283" s="3" t="s">
        <v>1021</v>
      </c>
      <c r="D283" s="4"/>
      <c r="E283" s="4" t="s">
        <v>1022</v>
      </c>
      <c r="F283" s="4" t="s">
        <v>235</v>
      </c>
      <c r="G283" s="5"/>
      <c r="H283" s="6"/>
      <c r="I283" s="6"/>
      <c r="J283" s="4" t="n">
        <v>0</v>
      </c>
      <c r="K283" s="7" t="n">
        <v>4500</v>
      </c>
      <c r="L283" s="8" t="n">
        <v>0</v>
      </c>
      <c r="M283" s="7" t="n">
        <v>4500</v>
      </c>
      <c r="N283" s="7"/>
      <c r="O283" s="9" t="str">
        <f aca="false">IF(AND(N(G283)&gt;0,N(M283)&gt;0),G283/M283,"")</f>
        <v/>
      </c>
      <c r="P283" s="7" t="n">
        <v>4500</v>
      </c>
      <c r="Q283" s="7" t="n">
        <v>4500</v>
      </c>
      <c r="R283" s="4" t="s">
        <v>65</v>
      </c>
      <c r="S283" s="7"/>
      <c r="T283" s="7"/>
      <c r="U283" s="7"/>
      <c r="V283" s="7"/>
      <c r="W283" s="10" t="s">
        <v>31</v>
      </c>
      <c r="X283" s="10" t="s">
        <v>31</v>
      </c>
    </row>
    <row r="284" customFormat="false" ht="15" hidden="false" customHeight="true" outlineLevel="0" collapsed="false">
      <c r="A284" s="3" t="s">
        <v>1023</v>
      </c>
      <c r="B284" s="3" t="s">
        <v>1024</v>
      </c>
      <c r="C284" s="3" t="s">
        <v>1025</v>
      </c>
      <c r="D284" s="4"/>
      <c r="E284" s="4" t="s">
        <v>1022</v>
      </c>
      <c r="F284" s="4" t="s">
        <v>235</v>
      </c>
      <c r="G284" s="5"/>
      <c r="H284" s="6"/>
      <c r="I284" s="6"/>
      <c r="J284" s="4" t="n">
        <v>0</v>
      </c>
      <c r="K284" s="7" t="n">
        <v>5650</v>
      </c>
      <c r="L284" s="8" t="n">
        <v>0</v>
      </c>
      <c r="M284" s="7" t="n">
        <v>5650</v>
      </c>
      <c r="N284" s="7"/>
      <c r="O284" s="9" t="str">
        <f aca="false">IF(AND(N(G284)&gt;0,N(M284)&gt;0),G284/M284,"")</f>
        <v/>
      </c>
      <c r="P284" s="7" t="n">
        <v>5650</v>
      </c>
      <c r="Q284" s="7" t="n">
        <v>5650</v>
      </c>
      <c r="R284" s="4" t="s">
        <v>65</v>
      </c>
      <c r="S284" s="7"/>
      <c r="T284" s="7"/>
      <c r="U284" s="7"/>
      <c r="V284" s="7"/>
      <c r="W284" s="10" t="s">
        <v>31</v>
      </c>
      <c r="X284" s="10" t="s">
        <v>31</v>
      </c>
    </row>
    <row r="285" customFormat="false" ht="15" hidden="false" customHeight="true" outlineLevel="0" collapsed="false">
      <c r="A285" s="3" t="s">
        <v>1026</v>
      </c>
      <c r="B285" s="3" t="s">
        <v>1027</v>
      </c>
      <c r="C285" s="3" t="s">
        <v>1028</v>
      </c>
      <c r="D285" s="4"/>
      <c r="E285" s="4" t="s">
        <v>1022</v>
      </c>
      <c r="F285" s="4" t="s">
        <v>235</v>
      </c>
      <c r="G285" s="5"/>
      <c r="H285" s="6"/>
      <c r="I285" s="6"/>
      <c r="J285" s="4" t="n">
        <v>0</v>
      </c>
      <c r="K285" s="7" t="n">
        <v>5000</v>
      </c>
      <c r="L285" s="8" t="n">
        <v>0</v>
      </c>
      <c r="M285" s="7" t="n">
        <v>5000</v>
      </c>
      <c r="N285" s="7"/>
      <c r="O285" s="9" t="str">
        <f aca="false">IF(AND(N(G285)&gt;0,N(M285)&gt;0),G285/M285,"")</f>
        <v/>
      </c>
      <c r="P285" s="7" t="n">
        <v>5000</v>
      </c>
      <c r="Q285" s="7" t="n">
        <v>5000</v>
      </c>
      <c r="R285" s="4" t="s">
        <v>65</v>
      </c>
      <c r="S285" s="7"/>
      <c r="T285" s="7"/>
      <c r="U285" s="7"/>
      <c r="V285" s="7"/>
      <c r="W285" s="10" t="s">
        <v>31</v>
      </c>
      <c r="X285" s="10" t="s">
        <v>31</v>
      </c>
    </row>
    <row r="286" customFormat="false" ht="15" hidden="false" customHeight="true" outlineLevel="0" collapsed="false">
      <c r="A286" s="3" t="s">
        <v>1029</v>
      </c>
      <c r="B286" s="3" t="s">
        <v>1030</v>
      </c>
      <c r="C286" s="3" t="s">
        <v>1031</v>
      </c>
      <c r="D286" s="4"/>
      <c r="E286" s="4" t="s">
        <v>1022</v>
      </c>
      <c r="F286" s="4" t="s">
        <v>235</v>
      </c>
      <c r="G286" s="5"/>
      <c r="H286" s="6"/>
      <c r="I286" s="6"/>
      <c r="J286" s="4" t="n">
        <v>0</v>
      </c>
      <c r="K286" s="7" t="n">
        <v>4850</v>
      </c>
      <c r="L286" s="8" t="n">
        <v>0</v>
      </c>
      <c r="M286" s="7" t="n">
        <v>4850</v>
      </c>
      <c r="N286" s="7"/>
      <c r="O286" s="9" t="str">
        <f aca="false">IF(AND(N(G286)&gt;0,N(M286)&gt;0),G286/M286,"")</f>
        <v/>
      </c>
      <c r="P286" s="7" t="n">
        <v>4850</v>
      </c>
      <c r="Q286" s="7" t="n">
        <v>4850</v>
      </c>
      <c r="R286" s="4" t="s">
        <v>65</v>
      </c>
      <c r="S286" s="7"/>
      <c r="T286" s="7"/>
      <c r="U286" s="7"/>
      <c r="V286" s="7"/>
      <c r="W286" s="10" t="s">
        <v>31</v>
      </c>
      <c r="X286" s="10" t="s">
        <v>31</v>
      </c>
    </row>
    <row r="287" customFormat="false" ht="15" hidden="false" customHeight="true" outlineLevel="0" collapsed="false">
      <c r="A287" s="3" t="s">
        <v>1032</v>
      </c>
      <c r="B287" s="3" t="s">
        <v>1033</v>
      </c>
      <c r="C287" s="3" t="s">
        <v>1034</v>
      </c>
      <c r="D287" s="4"/>
      <c r="E287" s="4" t="s">
        <v>1022</v>
      </c>
      <c r="F287" s="4" t="s">
        <v>235</v>
      </c>
      <c r="G287" s="5"/>
      <c r="H287" s="6"/>
      <c r="I287" s="6"/>
      <c r="J287" s="4" t="n">
        <v>0</v>
      </c>
      <c r="K287" s="7" t="n">
        <v>4500</v>
      </c>
      <c r="L287" s="8" t="n">
        <v>0</v>
      </c>
      <c r="M287" s="7" t="n">
        <v>4500</v>
      </c>
      <c r="N287" s="7"/>
      <c r="O287" s="9" t="str">
        <f aca="false">IF(AND(N(G287)&gt;0,N(M287)&gt;0),G287/M287,"")</f>
        <v/>
      </c>
      <c r="P287" s="7" t="n">
        <v>4500</v>
      </c>
      <c r="Q287" s="7" t="n">
        <v>4500</v>
      </c>
      <c r="R287" s="4" t="s">
        <v>65</v>
      </c>
      <c r="S287" s="7"/>
      <c r="T287" s="7"/>
      <c r="U287" s="7"/>
      <c r="V287" s="7"/>
      <c r="W287" s="10" t="s">
        <v>31</v>
      </c>
      <c r="X287" s="10" t="s">
        <v>31</v>
      </c>
    </row>
    <row r="288" customFormat="false" ht="15" hidden="false" customHeight="true" outlineLevel="0" collapsed="false">
      <c r="A288" s="3" t="s">
        <v>1035</v>
      </c>
      <c r="B288" s="3" t="s">
        <v>1036</v>
      </c>
      <c r="C288" s="3" t="s">
        <v>1037</v>
      </c>
      <c r="D288" s="4"/>
      <c r="E288" s="4" t="s">
        <v>267</v>
      </c>
      <c r="F288" s="4" t="s">
        <v>235</v>
      </c>
      <c r="G288" s="5"/>
      <c r="H288" s="6"/>
      <c r="I288" s="6"/>
      <c r="J288" s="4" t="n">
        <v>0</v>
      </c>
      <c r="K288" s="7" t="n">
        <v>38500</v>
      </c>
      <c r="L288" s="8" t="n">
        <v>0</v>
      </c>
      <c r="M288" s="7" t="n">
        <v>38500</v>
      </c>
      <c r="N288" s="7"/>
      <c r="O288" s="9" t="str">
        <f aca="false">IF(AND(N(G288)&gt;0,N(M288)&gt;0),G288/M288,"")</f>
        <v/>
      </c>
      <c r="P288" s="7" t="n">
        <v>38500</v>
      </c>
      <c r="Q288" s="7" t="n">
        <v>38500</v>
      </c>
      <c r="R288" s="4" t="s">
        <v>65</v>
      </c>
      <c r="S288" s="7"/>
      <c r="T288" s="7"/>
      <c r="U288" s="7"/>
      <c r="V288" s="7"/>
      <c r="W288" s="10" t="s">
        <v>31</v>
      </c>
      <c r="X288" s="10" t="s">
        <v>31</v>
      </c>
    </row>
    <row r="289" customFormat="false" ht="15" hidden="false" customHeight="true" outlineLevel="0" collapsed="false">
      <c r="A289" s="3" t="s">
        <v>1038</v>
      </c>
      <c r="B289" s="3" t="s">
        <v>1039</v>
      </c>
      <c r="C289" s="3" t="s">
        <v>1040</v>
      </c>
      <c r="D289" s="4"/>
      <c r="E289" s="4" t="s">
        <v>267</v>
      </c>
      <c r="F289" s="4" t="s">
        <v>235</v>
      </c>
      <c r="G289" s="5"/>
      <c r="H289" s="6"/>
      <c r="I289" s="6"/>
      <c r="J289" s="4" t="n">
        <v>0</v>
      </c>
      <c r="K289" s="7" t="n">
        <v>26500</v>
      </c>
      <c r="L289" s="8" t="n">
        <v>0</v>
      </c>
      <c r="M289" s="7" t="n">
        <v>26500</v>
      </c>
      <c r="N289" s="7"/>
      <c r="O289" s="9" t="str">
        <f aca="false">IF(AND(N(G289)&gt;0,N(M289)&gt;0),G289/M289,"")</f>
        <v/>
      </c>
      <c r="P289" s="7" t="n">
        <v>26500</v>
      </c>
      <c r="Q289" s="7" t="n">
        <v>26500</v>
      </c>
      <c r="R289" s="4" t="s">
        <v>65</v>
      </c>
      <c r="S289" s="7"/>
      <c r="T289" s="7"/>
      <c r="U289" s="7"/>
      <c r="V289" s="7"/>
      <c r="W289" s="10" t="s">
        <v>31</v>
      </c>
      <c r="X289" s="10" t="s">
        <v>31</v>
      </c>
    </row>
    <row r="290" customFormat="false" ht="15" hidden="false" customHeight="true" outlineLevel="0" collapsed="false">
      <c r="A290" s="3" t="s">
        <v>1041</v>
      </c>
      <c r="B290" s="3" t="s">
        <v>1042</v>
      </c>
      <c r="C290" s="3" t="s">
        <v>1043</v>
      </c>
      <c r="D290" s="4"/>
      <c r="E290" s="4" t="s">
        <v>1044</v>
      </c>
      <c r="F290" s="4" t="s">
        <v>235</v>
      </c>
      <c r="G290" s="5"/>
      <c r="H290" s="6"/>
      <c r="I290" s="6"/>
      <c r="J290" s="4" t="n">
        <v>0</v>
      </c>
      <c r="K290" s="7" t="n">
        <v>18500</v>
      </c>
      <c r="L290" s="8" t="n">
        <v>0</v>
      </c>
      <c r="M290" s="7" t="n">
        <v>18500</v>
      </c>
      <c r="N290" s="7"/>
      <c r="O290" s="9" t="str">
        <f aca="false">IF(AND(N(G290)&gt;0,N(M290)&gt;0),G290/M290,"")</f>
        <v/>
      </c>
      <c r="P290" s="7" t="n">
        <v>18500</v>
      </c>
      <c r="Q290" s="7" t="n">
        <v>18500</v>
      </c>
      <c r="R290" s="4" t="s">
        <v>65</v>
      </c>
      <c r="S290" s="7"/>
      <c r="T290" s="7"/>
      <c r="U290" s="7"/>
      <c r="V290" s="7"/>
      <c r="W290" s="10" t="s">
        <v>31</v>
      </c>
      <c r="X290" s="10" t="s">
        <v>31</v>
      </c>
    </row>
    <row r="291" customFormat="false" ht="15" hidden="false" customHeight="true" outlineLevel="0" collapsed="false">
      <c r="A291" s="3" t="s">
        <v>1045</v>
      </c>
      <c r="B291" s="3" t="s">
        <v>1046</v>
      </c>
      <c r="C291" s="3" t="s">
        <v>1047</v>
      </c>
      <c r="D291" s="4"/>
      <c r="E291" s="4" t="s">
        <v>1048</v>
      </c>
      <c r="F291" s="4" t="s">
        <v>235</v>
      </c>
      <c r="G291" s="5"/>
      <c r="H291" s="6"/>
      <c r="I291" s="6"/>
      <c r="J291" s="4" t="n">
        <v>0</v>
      </c>
      <c r="K291" s="7" t="n">
        <v>3200</v>
      </c>
      <c r="L291" s="8" t="n">
        <v>0</v>
      </c>
      <c r="M291" s="7" t="n">
        <v>3200</v>
      </c>
      <c r="N291" s="7"/>
      <c r="O291" s="9" t="str">
        <f aca="false">IF(AND(N(G291)&gt;0,N(M291)&gt;0),G291/M291,"")</f>
        <v/>
      </c>
      <c r="P291" s="7" t="n">
        <v>3200</v>
      </c>
      <c r="Q291" s="7" t="n">
        <v>3200</v>
      </c>
      <c r="R291" s="4" t="s">
        <v>65</v>
      </c>
      <c r="S291" s="7"/>
      <c r="T291" s="7"/>
      <c r="U291" s="7"/>
      <c r="V291" s="7"/>
      <c r="W291" s="10" t="s">
        <v>31</v>
      </c>
      <c r="X291" s="10" t="s">
        <v>31</v>
      </c>
    </row>
    <row r="292" customFormat="false" ht="15" hidden="false" customHeight="true" outlineLevel="0" collapsed="false">
      <c r="A292" s="3" t="s">
        <v>1049</v>
      </c>
      <c r="B292" s="3" t="s">
        <v>1050</v>
      </c>
      <c r="C292" s="3" t="s">
        <v>1051</v>
      </c>
      <c r="D292" s="4"/>
      <c r="E292" s="4" t="s">
        <v>1048</v>
      </c>
      <c r="F292" s="4" t="s">
        <v>235</v>
      </c>
      <c r="G292" s="5"/>
      <c r="H292" s="6"/>
      <c r="I292" s="6"/>
      <c r="J292" s="4" t="n">
        <v>0</v>
      </c>
      <c r="K292" s="7" t="n">
        <v>16000</v>
      </c>
      <c r="L292" s="8" t="n">
        <v>0</v>
      </c>
      <c r="M292" s="7" t="n">
        <v>16000</v>
      </c>
      <c r="N292" s="7"/>
      <c r="O292" s="9" t="str">
        <f aca="false">IF(AND(N(G292)&gt;0,N(M292)&gt;0),G292/M292,"")</f>
        <v/>
      </c>
      <c r="P292" s="7" t="n">
        <v>16000</v>
      </c>
      <c r="Q292" s="7" t="n">
        <v>16000</v>
      </c>
      <c r="R292" s="4" t="s">
        <v>65</v>
      </c>
      <c r="S292" s="7"/>
      <c r="T292" s="7"/>
      <c r="U292" s="7"/>
      <c r="V292" s="7"/>
      <c r="W292" s="10" t="s">
        <v>31</v>
      </c>
      <c r="X292" s="10" t="s">
        <v>31</v>
      </c>
    </row>
    <row r="293" customFormat="false" ht="15" hidden="false" customHeight="true" outlineLevel="0" collapsed="false">
      <c r="A293" s="3" t="s">
        <v>1052</v>
      </c>
      <c r="B293" s="3" t="s">
        <v>1053</v>
      </c>
      <c r="C293" s="3" t="s">
        <v>1054</v>
      </c>
      <c r="D293" s="4"/>
      <c r="E293" s="4" t="s">
        <v>1048</v>
      </c>
      <c r="F293" s="4" t="s">
        <v>235</v>
      </c>
      <c r="G293" s="5"/>
      <c r="H293" s="6"/>
      <c r="I293" s="6"/>
      <c r="J293" s="4" t="n">
        <v>0</v>
      </c>
      <c r="K293" s="7" t="n">
        <v>4000</v>
      </c>
      <c r="L293" s="8" t="n">
        <v>0</v>
      </c>
      <c r="M293" s="7" t="n">
        <v>4000</v>
      </c>
      <c r="N293" s="7"/>
      <c r="O293" s="9" t="str">
        <f aca="false">IF(AND(N(G293)&gt;0,N(M293)&gt;0),G293/M293,"")</f>
        <v/>
      </c>
      <c r="P293" s="7" t="n">
        <v>4000</v>
      </c>
      <c r="Q293" s="7" t="n">
        <v>4000</v>
      </c>
      <c r="R293" s="4" t="s">
        <v>65</v>
      </c>
      <c r="S293" s="7"/>
      <c r="T293" s="7"/>
      <c r="U293" s="7"/>
      <c r="V293" s="7"/>
      <c r="W293" s="10" t="s">
        <v>31</v>
      </c>
      <c r="X293" s="10" t="s">
        <v>31</v>
      </c>
    </row>
    <row r="294" customFormat="false" ht="15" hidden="false" customHeight="true" outlineLevel="0" collapsed="false">
      <c r="A294" s="3" t="s">
        <v>1055</v>
      </c>
      <c r="B294" s="3" t="s">
        <v>1056</v>
      </c>
      <c r="C294" s="3" t="s">
        <v>1057</v>
      </c>
      <c r="D294" s="4"/>
      <c r="E294" s="4" t="s">
        <v>1048</v>
      </c>
      <c r="F294" s="4" t="s">
        <v>235</v>
      </c>
      <c r="G294" s="11" t="n">
        <v>1800</v>
      </c>
      <c r="H294" s="12" t="s">
        <v>36</v>
      </c>
      <c r="I294" s="12" t="s">
        <v>37</v>
      </c>
      <c r="J294" s="4" t="n">
        <v>0</v>
      </c>
      <c r="K294" s="7" t="n">
        <v>8820</v>
      </c>
      <c r="L294" s="8" t="n">
        <v>0</v>
      </c>
      <c r="M294" s="7" t="n">
        <v>8820</v>
      </c>
      <c r="N294" s="7"/>
      <c r="O294" s="9" t="n">
        <f aca="false">IF(AND(N(G294)&gt;0,N(M294)&gt;0),G294/M294,"")</f>
        <v>0.204081632653061</v>
      </c>
      <c r="P294" s="7" t="n">
        <v>8820</v>
      </c>
      <c r="Q294" s="7" t="n">
        <v>8820</v>
      </c>
      <c r="R294" s="4" t="s">
        <v>65</v>
      </c>
      <c r="S294" s="7"/>
      <c r="T294" s="7"/>
      <c r="U294" s="7"/>
      <c r="V294" s="7"/>
      <c r="W294" s="10" t="s">
        <v>31</v>
      </c>
      <c r="X294" s="10" t="s">
        <v>31</v>
      </c>
    </row>
    <row r="295" customFormat="false" ht="15" hidden="false" customHeight="true" outlineLevel="0" collapsed="false">
      <c r="A295" s="3" t="s">
        <v>1058</v>
      </c>
      <c r="B295" s="3" t="s">
        <v>1059</v>
      </c>
      <c r="C295" s="3" t="s">
        <v>1060</v>
      </c>
      <c r="D295" s="4"/>
      <c r="E295" s="4" t="s">
        <v>1048</v>
      </c>
      <c r="F295" s="4" t="s">
        <v>235</v>
      </c>
      <c r="G295" s="5"/>
      <c r="H295" s="6"/>
      <c r="I295" s="6"/>
      <c r="J295" s="4" t="n">
        <v>0</v>
      </c>
      <c r="K295" s="7" t="n">
        <v>8200</v>
      </c>
      <c r="L295" s="8" t="n">
        <v>0</v>
      </c>
      <c r="M295" s="7" t="n">
        <v>8200</v>
      </c>
      <c r="N295" s="7"/>
      <c r="O295" s="9" t="str">
        <f aca="false">IF(AND(N(G295)&gt;0,N(M295)&gt;0),G295/M295,"")</f>
        <v/>
      </c>
      <c r="P295" s="7" t="n">
        <v>8200</v>
      </c>
      <c r="Q295" s="7" t="n">
        <v>8200</v>
      </c>
      <c r="R295" s="4" t="s">
        <v>65</v>
      </c>
      <c r="S295" s="7"/>
      <c r="T295" s="7"/>
      <c r="U295" s="7"/>
      <c r="V295" s="7"/>
      <c r="W295" s="10" t="s">
        <v>31</v>
      </c>
      <c r="X295" s="10" t="s">
        <v>31</v>
      </c>
    </row>
    <row r="296" customFormat="false" ht="15" hidden="false" customHeight="true" outlineLevel="0" collapsed="false">
      <c r="A296" s="3" t="s">
        <v>1061</v>
      </c>
      <c r="B296" s="3" t="s">
        <v>1062</v>
      </c>
      <c r="C296" s="3" t="s">
        <v>1063</v>
      </c>
      <c r="D296" s="4"/>
      <c r="E296" s="4" t="s">
        <v>1048</v>
      </c>
      <c r="F296" s="4" t="s">
        <v>235</v>
      </c>
      <c r="G296" s="11" t="n">
        <v>2700</v>
      </c>
      <c r="H296" s="12" t="s">
        <v>36</v>
      </c>
      <c r="I296" s="12" t="s">
        <v>37</v>
      </c>
      <c r="J296" s="4" t="n">
        <v>0</v>
      </c>
      <c r="K296" s="7" t="n">
        <v>13300</v>
      </c>
      <c r="L296" s="8" t="n">
        <v>0</v>
      </c>
      <c r="M296" s="7" t="n">
        <v>13300</v>
      </c>
      <c r="N296" s="7"/>
      <c r="O296" s="9" t="n">
        <f aca="false">IF(AND(N(G296)&gt;0,N(M296)&gt;0),G296/M296,"")</f>
        <v>0.203007518796992</v>
      </c>
      <c r="P296" s="7" t="n">
        <v>13300</v>
      </c>
      <c r="Q296" s="7" t="n">
        <v>13300</v>
      </c>
      <c r="R296" s="4" t="s">
        <v>65</v>
      </c>
      <c r="S296" s="7"/>
      <c r="T296" s="7"/>
      <c r="U296" s="7"/>
      <c r="V296" s="7"/>
      <c r="W296" s="10" t="s">
        <v>31</v>
      </c>
      <c r="X296" s="10" t="s">
        <v>31</v>
      </c>
    </row>
    <row r="297" customFormat="false" ht="15" hidden="false" customHeight="true" outlineLevel="0" collapsed="false">
      <c r="A297" s="3" t="s">
        <v>1064</v>
      </c>
      <c r="B297" s="3" t="s">
        <v>1065</v>
      </c>
      <c r="C297" s="3" t="s">
        <v>1066</v>
      </c>
      <c r="D297" s="4"/>
      <c r="E297" s="4" t="s">
        <v>1048</v>
      </c>
      <c r="F297" s="4" t="s">
        <v>235</v>
      </c>
      <c r="G297" s="5"/>
      <c r="H297" s="6"/>
      <c r="I297" s="6"/>
      <c r="J297" s="4" t="n">
        <v>0</v>
      </c>
      <c r="K297" s="7" t="n">
        <v>6500</v>
      </c>
      <c r="L297" s="8" t="n">
        <v>0</v>
      </c>
      <c r="M297" s="7" t="n">
        <v>6500</v>
      </c>
      <c r="N297" s="7"/>
      <c r="O297" s="9" t="str">
        <f aca="false">IF(AND(N(G297)&gt;0,N(M297)&gt;0),G297/M297,"")</f>
        <v/>
      </c>
      <c r="P297" s="7" t="n">
        <v>6500</v>
      </c>
      <c r="Q297" s="7" t="n">
        <v>6500</v>
      </c>
      <c r="R297" s="4" t="s">
        <v>65</v>
      </c>
      <c r="S297" s="7"/>
      <c r="T297" s="7"/>
      <c r="U297" s="7"/>
      <c r="V297" s="7"/>
      <c r="W297" s="10" t="s">
        <v>31</v>
      </c>
      <c r="X297" s="10" t="s">
        <v>31</v>
      </c>
    </row>
    <row r="298" customFormat="false" ht="15" hidden="false" customHeight="true" outlineLevel="0" collapsed="false">
      <c r="A298" s="3" t="s">
        <v>1067</v>
      </c>
      <c r="B298" s="3" t="s">
        <v>1068</v>
      </c>
      <c r="C298" s="3" t="s">
        <v>1069</v>
      </c>
      <c r="D298" s="4"/>
      <c r="E298" s="4" t="s">
        <v>1048</v>
      </c>
      <c r="F298" s="4" t="s">
        <v>235</v>
      </c>
      <c r="G298" s="5"/>
      <c r="H298" s="6"/>
      <c r="I298" s="6"/>
      <c r="J298" s="4" t="n">
        <v>0</v>
      </c>
      <c r="K298" s="7" t="n">
        <v>6850</v>
      </c>
      <c r="L298" s="8" t="n">
        <v>0</v>
      </c>
      <c r="M298" s="7" t="n">
        <v>6850</v>
      </c>
      <c r="N298" s="7"/>
      <c r="O298" s="9" t="str">
        <f aca="false">IF(AND(N(G298)&gt;0,N(M298)&gt;0),G298/M298,"")</f>
        <v/>
      </c>
      <c r="P298" s="7" t="n">
        <v>6850</v>
      </c>
      <c r="Q298" s="7" t="n">
        <v>6850</v>
      </c>
      <c r="R298" s="4" t="s">
        <v>65</v>
      </c>
      <c r="S298" s="7"/>
      <c r="T298" s="7"/>
      <c r="U298" s="7"/>
      <c r="V298" s="7"/>
      <c r="W298" s="10" t="s">
        <v>31</v>
      </c>
      <c r="X298" s="10" t="s">
        <v>31</v>
      </c>
    </row>
    <row r="299" customFormat="false" ht="15" hidden="false" customHeight="true" outlineLevel="0" collapsed="false">
      <c r="A299" s="3" t="s">
        <v>1070</v>
      </c>
      <c r="B299" s="3" t="s">
        <v>1071</v>
      </c>
      <c r="C299" s="3" t="s">
        <v>1072</v>
      </c>
      <c r="D299" s="4"/>
      <c r="E299" s="4" t="s">
        <v>1073</v>
      </c>
      <c r="F299" s="4" t="s">
        <v>235</v>
      </c>
      <c r="G299" s="11" t="n">
        <v>2500</v>
      </c>
      <c r="H299" s="12" t="s">
        <v>36</v>
      </c>
      <c r="I299" s="12" t="s">
        <v>37</v>
      </c>
      <c r="J299" s="4" t="n">
        <v>0</v>
      </c>
      <c r="K299" s="7" t="n">
        <v>13500</v>
      </c>
      <c r="L299" s="8" t="n">
        <v>0</v>
      </c>
      <c r="M299" s="7" t="n">
        <v>13500</v>
      </c>
      <c r="N299" s="7"/>
      <c r="O299" s="9" t="n">
        <f aca="false">IF(AND(N(G299)&gt;0,N(M299)&gt;0),G299/M299,"")</f>
        <v>0.185185185185185</v>
      </c>
      <c r="P299" s="7" t="n">
        <v>13500</v>
      </c>
      <c r="Q299" s="7" t="n">
        <v>13500</v>
      </c>
      <c r="R299" s="4" t="s">
        <v>65</v>
      </c>
      <c r="S299" s="7"/>
      <c r="T299" s="7"/>
      <c r="U299" s="7"/>
      <c r="V299" s="7"/>
      <c r="W299" s="10" t="s">
        <v>31</v>
      </c>
      <c r="X299" s="10" t="s">
        <v>31</v>
      </c>
    </row>
    <row r="300" customFormat="false" ht="15" hidden="false" customHeight="true" outlineLevel="0" collapsed="false">
      <c r="A300" s="3" t="s">
        <v>1074</v>
      </c>
      <c r="B300" s="3" t="s">
        <v>1075</v>
      </c>
      <c r="C300" s="3" t="s">
        <v>1076</v>
      </c>
      <c r="D300" s="4"/>
      <c r="E300" s="4" t="s">
        <v>1077</v>
      </c>
      <c r="F300" s="4" t="s">
        <v>235</v>
      </c>
      <c r="G300" s="11" t="n">
        <v>2700</v>
      </c>
      <c r="H300" s="12" t="s">
        <v>36</v>
      </c>
      <c r="I300" s="12" t="s">
        <v>37</v>
      </c>
      <c r="J300" s="4" t="n">
        <v>0</v>
      </c>
      <c r="K300" s="7" t="n">
        <v>13500</v>
      </c>
      <c r="L300" s="8" t="n">
        <v>0</v>
      </c>
      <c r="M300" s="7" t="n">
        <v>13500</v>
      </c>
      <c r="N300" s="7"/>
      <c r="O300" s="9" t="n">
        <f aca="false">IF(AND(N(G300)&gt;0,N(M300)&gt;0),G300/M300,"")</f>
        <v>0.2</v>
      </c>
      <c r="P300" s="7" t="n">
        <v>13500</v>
      </c>
      <c r="Q300" s="7" t="n">
        <v>13500</v>
      </c>
      <c r="R300" s="4" t="s">
        <v>65</v>
      </c>
      <c r="S300" s="7"/>
      <c r="T300" s="7"/>
      <c r="U300" s="7"/>
      <c r="V300" s="7"/>
      <c r="W300" s="10" t="s">
        <v>31</v>
      </c>
      <c r="X300" s="10" t="s">
        <v>31</v>
      </c>
    </row>
    <row r="301" customFormat="false" ht="15" hidden="false" customHeight="true" outlineLevel="0" collapsed="false">
      <c r="A301" s="3" t="s">
        <v>1078</v>
      </c>
      <c r="B301" s="3" t="s">
        <v>1079</v>
      </c>
      <c r="C301" s="3" t="s">
        <v>1080</v>
      </c>
      <c r="D301" s="4"/>
      <c r="E301" s="4" t="s">
        <v>1081</v>
      </c>
      <c r="F301" s="4" t="s">
        <v>235</v>
      </c>
      <c r="G301" s="5"/>
      <c r="H301" s="6"/>
      <c r="I301" s="6"/>
      <c r="J301" s="4" t="n">
        <v>0</v>
      </c>
      <c r="K301" s="7" t="n">
        <v>12000</v>
      </c>
      <c r="L301" s="8" t="n">
        <v>0</v>
      </c>
      <c r="M301" s="7" t="n">
        <v>12000</v>
      </c>
      <c r="N301" s="7"/>
      <c r="O301" s="9" t="str">
        <f aca="false">IF(AND(N(G301)&gt;0,N(M301)&gt;0),G301/M301,"")</f>
        <v/>
      </c>
      <c r="P301" s="7" t="n">
        <v>12000</v>
      </c>
      <c r="Q301" s="7" t="n">
        <v>12000</v>
      </c>
      <c r="R301" s="4" t="s">
        <v>65</v>
      </c>
      <c r="S301" s="7"/>
      <c r="T301" s="7"/>
      <c r="U301" s="7"/>
      <c r="V301" s="7"/>
      <c r="W301" s="10" t="s">
        <v>31</v>
      </c>
      <c r="X301" s="10" t="s">
        <v>31</v>
      </c>
    </row>
    <row r="302" customFormat="false" ht="15" hidden="false" customHeight="true" outlineLevel="0" collapsed="false">
      <c r="A302" s="3" t="s">
        <v>1082</v>
      </c>
      <c r="B302" s="3" t="s">
        <v>1083</v>
      </c>
      <c r="C302" s="3" t="s">
        <v>1084</v>
      </c>
      <c r="D302" s="4"/>
      <c r="E302" s="4" t="s">
        <v>271</v>
      </c>
      <c r="F302" s="4" t="s">
        <v>235</v>
      </c>
      <c r="G302" s="5"/>
      <c r="H302" s="6"/>
      <c r="I302" s="6"/>
      <c r="J302" s="4" t="n">
        <v>0</v>
      </c>
      <c r="K302" s="7" t="n">
        <v>9500</v>
      </c>
      <c r="L302" s="8" t="n">
        <v>0</v>
      </c>
      <c r="M302" s="7" t="n">
        <v>9500</v>
      </c>
      <c r="N302" s="7"/>
      <c r="O302" s="9" t="str">
        <f aca="false">IF(AND(N(G302)&gt;0,N(M302)&gt;0),G302/M302,"")</f>
        <v/>
      </c>
      <c r="P302" s="7" t="n">
        <v>9500</v>
      </c>
      <c r="Q302" s="7" t="n">
        <v>9500</v>
      </c>
      <c r="R302" s="4" t="s">
        <v>65</v>
      </c>
      <c r="S302" s="7"/>
      <c r="T302" s="7"/>
      <c r="U302" s="7"/>
      <c r="V302" s="7"/>
      <c r="W302" s="10" t="s">
        <v>31</v>
      </c>
      <c r="X302" s="10" t="s">
        <v>31</v>
      </c>
    </row>
    <row r="303" customFormat="false" ht="15" hidden="false" customHeight="true" outlineLevel="0" collapsed="false">
      <c r="A303" s="3" t="s">
        <v>1085</v>
      </c>
      <c r="B303" s="3" t="s">
        <v>1086</v>
      </c>
      <c r="C303" s="3" t="s">
        <v>1087</v>
      </c>
      <c r="D303" s="4"/>
      <c r="E303" s="4" t="s">
        <v>271</v>
      </c>
      <c r="F303" s="4" t="s">
        <v>235</v>
      </c>
      <c r="G303" s="5"/>
      <c r="H303" s="6"/>
      <c r="I303" s="6"/>
      <c r="J303" s="4" t="n">
        <v>0</v>
      </c>
      <c r="K303" s="7" t="n">
        <v>6200</v>
      </c>
      <c r="L303" s="8" t="n">
        <v>0</v>
      </c>
      <c r="M303" s="7" t="n">
        <v>6200</v>
      </c>
      <c r="N303" s="7"/>
      <c r="O303" s="9" t="str">
        <f aca="false">IF(AND(N(G303)&gt;0,N(M303)&gt;0),G303/M303,"")</f>
        <v/>
      </c>
      <c r="P303" s="7" t="n">
        <v>6200</v>
      </c>
      <c r="Q303" s="7" t="n">
        <v>6200</v>
      </c>
      <c r="R303" s="4" t="s">
        <v>65</v>
      </c>
      <c r="S303" s="7"/>
      <c r="T303" s="7"/>
      <c r="U303" s="7"/>
      <c r="V303" s="7"/>
      <c r="W303" s="10" t="s">
        <v>31</v>
      </c>
      <c r="X303" s="10" t="s">
        <v>31</v>
      </c>
    </row>
    <row r="304" customFormat="false" ht="15" hidden="false" customHeight="true" outlineLevel="0" collapsed="false">
      <c r="A304" s="3" t="s">
        <v>1088</v>
      </c>
      <c r="B304" s="3" t="s">
        <v>1089</v>
      </c>
      <c r="C304" s="3" t="s">
        <v>1090</v>
      </c>
      <c r="D304" s="4"/>
      <c r="E304" s="4" t="s">
        <v>271</v>
      </c>
      <c r="F304" s="4" t="s">
        <v>235</v>
      </c>
      <c r="G304" s="5"/>
      <c r="H304" s="6"/>
      <c r="I304" s="6"/>
      <c r="J304" s="4" t="n">
        <v>0</v>
      </c>
      <c r="K304" s="7" t="n">
        <v>7150</v>
      </c>
      <c r="L304" s="8" t="n">
        <v>0</v>
      </c>
      <c r="M304" s="7" t="n">
        <v>7150</v>
      </c>
      <c r="N304" s="7"/>
      <c r="O304" s="9" t="str">
        <f aca="false">IF(AND(N(G304)&gt;0,N(M304)&gt;0),G304/M304,"")</f>
        <v/>
      </c>
      <c r="P304" s="7" t="n">
        <v>7150</v>
      </c>
      <c r="Q304" s="7" t="n">
        <v>7150</v>
      </c>
      <c r="R304" s="4" t="s">
        <v>65</v>
      </c>
      <c r="S304" s="7"/>
      <c r="T304" s="7"/>
      <c r="U304" s="7"/>
      <c r="V304" s="7"/>
      <c r="W304" s="10" t="s">
        <v>31</v>
      </c>
      <c r="X304" s="10" t="s">
        <v>31</v>
      </c>
    </row>
    <row r="305" customFormat="false" ht="15" hidden="false" customHeight="true" outlineLevel="0" collapsed="false">
      <c r="A305" s="3" t="s">
        <v>1091</v>
      </c>
      <c r="B305" s="3" t="s">
        <v>1092</v>
      </c>
      <c r="C305" s="3" t="s">
        <v>1093</v>
      </c>
      <c r="D305" s="4"/>
      <c r="E305" s="4" t="s">
        <v>271</v>
      </c>
      <c r="F305" s="4" t="s">
        <v>235</v>
      </c>
      <c r="G305" s="5"/>
      <c r="H305" s="6"/>
      <c r="I305" s="6"/>
      <c r="J305" s="4" t="n">
        <v>0</v>
      </c>
      <c r="K305" s="7" t="n">
        <v>9130</v>
      </c>
      <c r="L305" s="8" t="n">
        <v>0</v>
      </c>
      <c r="M305" s="7" t="n">
        <v>9130</v>
      </c>
      <c r="N305" s="7"/>
      <c r="O305" s="9" t="str">
        <f aca="false">IF(AND(N(G305)&gt;0,N(M305)&gt;0),G305/M305,"")</f>
        <v/>
      </c>
      <c r="P305" s="7" t="n">
        <v>9130</v>
      </c>
      <c r="Q305" s="7" t="n">
        <v>9130</v>
      </c>
      <c r="R305" s="4" t="s">
        <v>65</v>
      </c>
      <c r="S305" s="7"/>
      <c r="T305" s="7"/>
      <c r="U305" s="7"/>
      <c r="V305" s="7"/>
      <c r="W305" s="10" t="s">
        <v>31</v>
      </c>
      <c r="X305" s="10" t="s">
        <v>31</v>
      </c>
    </row>
    <row r="306" customFormat="false" ht="15" hidden="false" customHeight="true" outlineLevel="0" collapsed="false">
      <c r="A306" s="3" t="s">
        <v>1094</v>
      </c>
      <c r="B306" s="3" t="s">
        <v>1095</v>
      </c>
      <c r="C306" s="3" t="s">
        <v>1096</v>
      </c>
      <c r="D306" s="4"/>
      <c r="E306" s="4" t="s">
        <v>271</v>
      </c>
      <c r="F306" s="4" t="s">
        <v>235</v>
      </c>
      <c r="G306" s="5"/>
      <c r="H306" s="6"/>
      <c r="I306" s="6"/>
      <c r="J306" s="4" t="n">
        <v>0</v>
      </c>
      <c r="K306" s="7" t="n">
        <v>9500</v>
      </c>
      <c r="L306" s="8" t="n">
        <v>0</v>
      </c>
      <c r="M306" s="7" t="n">
        <v>9500</v>
      </c>
      <c r="N306" s="7"/>
      <c r="O306" s="9" t="str">
        <f aca="false">IF(AND(N(G306)&gt;0,N(M306)&gt;0),G306/M306,"")</f>
        <v/>
      </c>
      <c r="P306" s="7" t="n">
        <v>9500</v>
      </c>
      <c r="Q306" s="7" t="n">
        <v>9500</v>
      </c>
      <c r="R306" s="4" t="s">
        <v>65</v>
      </c>
      <c r="S306" s="7"/>
      <c r="T306" s="7"/>
      <c r="U306" s="7"/>
      <c r="V306" s="7"/>
      <c r="W306" s="10" t="s">
        <v>31</v>
      </c>
      <c r="X306" s="10" t="s">
        <v>31</v>
      </c>
    </row>
    <row r="307" customFormat="false" ht="15" hidden="false" customHeight="true" outlineLevel="0" collapsed="false">
      <c r="A307" s="3" t="s">
        <v>1097</v>
      </c>
      <c r="B307" s="3" t="s">
        <v>1098</v>
      </c>
      <c r="C307" s="3" t="s">
        <v>1099</v>
      </c>
      <c r="D307" s="4"/>
      <c r="E307" s="4" t="s">
        <v>271</v>
      </c>
      <c r="F307" s="4" t="s">
        <v>235</v>
      </c>
      <c r="G307" s="5"/>
      <c r="H307" s="6"/>
      <c r="I307" s="6"/>
      <c r="J307" s="4" t="n">
        <v>0</v>
      </c>
      <c r="K307" s="7" t="n">
        <v>16500</v>
      </c>
      <c r="L307" s="8" t="n">
        <v>0</v>
      </c>
      <c r="M307" s="7" t="n">
        <v>16500</v>
      </c>
      <c r="N307" s="7"/>
      <c r="O307" s="9" t="str">
        <f aca="false">IF(AND(N(G307)&gt;0,N(M307)&gt;0),G307/M307,"")</f>
        <v/>
      </c>
      <c r="P307" s="7" t="n">
        <v>16500</v>
      </c>
      <c r="Q307" s="7" t="n">
        <v>16500</v>
      </c>
      <c r="R307" s="4" t="s">
        <v>65</v>
      </c>
      <c r="S307" s="7"/>
      <c r="T307" s="7"/>
      <c r="U307" s="7"/>
      <c r="V307" s="7"/>
      <c r="W307" s="10" t="s">
        <v>31</v>
      </c>
      <c r="X307" s="10" t="s">
        <v>31</v>
      </c>
    </row>
    <row r="308" customFormat="false" ht="15" hidden="false" customHeight="true" outlineLevel="0" collapsed="false">
      <c r="A308" s="3" t="s">
        <v>1100</v>
      </c>
      <c r="B308" s="3" t="s">
        <v>1101</v>
      </c>
      <c r="C308" s="3" t="s">
        <v>1102</v>
      </c>
      <c r="D308" s="4"/>
      <c r="E308" s="4" t="s">
        <v>1103</v>
      </c>
      <c r="F308" s="4" t="s">
        <v>235</v>
      </c>
      <c r="G308" s="11" t="n">
        <v>1150</v>
      </c>
      <c r="H308" s="12" t="s">
        <v>36</v>
      </c>
      <c r="I308" s="12" t="s">
        <v>37</v>
      </c>
      <c r="J308" s="4" t="n">
        <v>0</v>
      </c>
      <c r="K308" s="7" t="n">
        <v>9000</v>
      </c>
      <c r="L308" s="8" t="n">
        <v>0</v>
      </c>
      <c r="M308" s="7" t="n">
        <v>9000</v>
      </c>
      <c r="N308" s="7"/>
      <c r="O308" s="9" t="n">
        <f aca="false">IF(AND(N(G308)&gt;0,N(M308)&gt;0),G308/M308,"")</f>
        <v>0.127777777777778</v>
      </c>
      <c r="P308" s="7" t="n">
        <v>9000</v>
      </c>
      <c r="Q308" s="7" t="n">
        <v>9000</v>
      </c>
      <c r="R308" s="4" t="s">
        <v>65</v>
      </c>
      <c r="S308" s="7"/>
      <c r="T308" s="7"/>
      <c r="U308" s="7"/>
      <c r="V308" s="7"/>
      <c r="W308" s="10" t="s">
        <v>31</v>
      </c>
      <c r="X308" s="10" t="s">
        <v>31</v>
      </c>
    </row>
    <row r="309" customFormat="false" ht="15" hidden="false" customHeight="true" outlineLevel="0" collapsed="false">
      <c r="A309" s="3" t="s">
        <v>1104</v>
      </c>
      <c r="B309" s="3" t="s">
        <v>1105</v>
      </c>
      <c r="C309" s="3" t="s">
        <v>1106</v>
      </c>
      <c r="D309" s="4"/>
      <c r="E309" s="4" t="s">
        <v>836</v>
      </c>
      <c r="F309" s="4" t="s">
        <v>235</v>
      </c>
      <c r="G309" s="11" t="n">
        <v>1300</v>
      </c>
      <c r="H309" s="12" t="s">
        <v>36</v>
      </c>
      <c r="I309" s="12" t="s">
        <v>37</v>
      </c>
      <c r="J309" s="4" t="n">
        <v>0</v>
      </c>
      <c r="K309" s="7" t="n">
        <v>6500</v>
      </c>
      <c r="L309" s="8" t="n">
        <v>0</v>
      </c>
      <c r="M309" s="7" t="n">
        <v>6500</v>
      </c>
      <c r="N309" s="7"/>
      <c r="O309" s="9" t="n">
        <f aca="false">IF(AND(N(G309)&gt;0,N(M309)&gt;0),G309/M309,"")</f>
        <v>0.2</v>
      </c>
      <c r="P309" s="7" t="n">
        <v>6500</v>
      </c>
      <c r="Q309" s="7" t="n">
        <v>6500</v>
      </c>
      <c r="R309" s="4" t="s">
        <v>65</v>
      </c>
      <c r="S309" s="7"/>
      <c r="T309" s="7"/>
      <c r="U309" s="7"/>
      <c r="V309" s="7"/>
      <c r="W309" s="10" t="s">
        <v>31</v>
      </c>
      <c r="X309" s="10" t="s">
        <v>31</v>
      </c>
    </row>
    <row r="310" customFormat="false" ht="15" hidden="false" customHeight="true" outlineLevel="0" collapsed="false">
      <c r="A310" s="3" t="s">
        <v>1107</v>
      </c>
      <c r="B310" s="3" t="s">
        <v>1108</v>
      </c>
      <c r="C310" s="3" t="s">
        <v>1109</v>
      </c>
      <c r="D310" s="4"/>
      <c r="E310" s="4" t="s">
        <v>836</v>
      </c>
      <c r="F310" s="4" t="s">
        <v>235</v>
      </c>
      <c r="G310" s="5"/>
      <c r="H310" s="6"/>
      <c r="I310" s="6"/>
      <c r="J310" s="4" t="n">
        <v>0</v>
      </c>
      <c r="K310" s="7" t="n">
        <v>5530</v>
      </c>
      <c r="L310" s="8" t="n">
        <v>0</v>
      </c>
      <c r="M310" s="7" t="n">
        <v>5530</v>
      </c>
      <c r="N310" s="7"/>
      <c r="O310" s="9" t="str">
        <f aca="false">IF(AND(N(G310)&gt;0,N(M310)&gt;0),G310/M310,"")</f>
        <v/>
      </c>
      <c r="P310" s="7" t="n">
        <v>5530</v>
      </c>
      <c r="Q310" s="7" t="n">
        <v>5530</v>
      </c>
      <c r="R310" s="4" t="s">
        <v>65</v>
      </c>
      <c r="S310" s="7"/>
      <c r="T310" s="7"/>
      <c r="U310" s="7"/>
      <c r="V310" s="7"/>
      <c r="W310" s="10" t="s">
        <v>31</v>
      </c>
      <c r="X310" s="10" t="s">
        <v>31</v>
      </c>
    </row>
    <row r="311" customFormat="false" ht="15" hidden="false" customHeight="true" outlineLevel="0" collapsed="false">
      <c r="A311" s="3" t="s">
        <v>1110</v>
      </c>
      <c r="B311" s="3" t="s">
        <v>1111</v>
      </c>
      <c r="C311" s="3" t="s">
        <v>1112</v>
      </c>
      <c r="D311" s="4"/>
      <c r="E311" s="4" t="s">
        <v>836</v>
      </c>
      <c r="F311" s="4" t="s">
        <v>235</v>
      </c>
      <c r="G311" s="5"/>
      <c r="H311" s="6"/>
      <c r="I311" s="6"/>
      <c r="J311" s="4" t="n">
        <v>0</v>
      </c>
      <c r="K311" s="7" t="n">
        <v>7260</v>
      </c>
      <c r="L311" s="8" t="n">
        <v>0</v>
      </c>
      <c r="M311" s="7" t="n">
        <v>7260</v>
      </c>
      <c r="N311" s="7"/>
      <c r="O311" s="9" t="str">
        <f aca="false">IF(AND(N(G311)&gt;0,N(M311)&gt;0),G311/M311,"")</f>
        <v/>
      </c>
      <c r="P311" s="7" t="n">
        <v>7260</v>
      </c>
      <c r="Q311" s="7" t="n">
        <v>7260</v>
      </c>
      <c r="R311" s="4" t="s">
        <v>65</v>
      </c>
      <c r="S311" s="7"/>
      <c r="T311" s="7"/>
      <c r="U311" s="7"/>
      <c r="V311" s="7"/>
      <c r="W311" s="10" t="s">
        <v>31</v>
      </c>
      <c r="X311" s="10" t="s">
        <v>31</v>
      </c>
    </row>
    <row r="312" customFormat="false" ht="15" hidden="false" customHeight="true" outlineLevel="0" collapsed="false">
      <c r="A312" s="3" t="s">
        <v>1113</v>
      </c>
      <c r="B312" s="3" t="s">
        <v>1114</v>
      </c>
      <c r="C312" s="3" t="s">
        <v>1115</v>
      </c>
      <c r="D312" s="4"/>
      <c r="E312" s="4" t="s">
        <v>836</v>
      </c>
      <c r="F312" s="4" t="s">
        <v>235</v>
      </c>
      <c r="G312" s="5"/>
      <c r="H312" s="6"/>
      <c r="I312" s="6"/>
      <c r="J312" s="4" t="n">
        <v>0</v>
      </c>
      <c r="K312" s="7" t="n">
        <v>9900</v>
      </c>
      <c r="L312" s="8" t="n">
        <v>0</v>
      </c>
      <c r="M312" s="7" t="n">
        <v>9900</v>
      </c>
      <c r="N312" s="7"/>
      <c r="O312" s="9" t="str">
        <f aca="false">IF(AND(N(G312)&gt;0,N(M312)&gt;0),G312/M312,"")</f>
        <v/>
      </c>
      <c r="P312" s="7" t="n">
        <v>9900</v>
      </c>
      <c r="Q312" s="7" t="n">
        <v>9900</v>
      </c>
      <c r="R312" s="4" t="s">
        <v>65</v>
      </c>
      <c r="S312" s="7"/>
      <c r="T312" s="7"/>
      <c r="U312" s="7"/>
      <c r="V312" s="7"/>
      <c r="W312" s="10" t="s">
        <v>31</v>
      </c>
      <c r="X312" s="10" t="s">
        <v>31</v>
      </c>
    </row>
    <row r="313" customFormat="false" ht="15" hidden="false" customHeight="true" outlineLevel="0" collapsed="false">
      <c r="A313" s="3" t="s">
        <v>1116</v>
      </c>
      <c r="B313" s="3" t="s">
        <v>1117</v>
      </c>
      <c r="C313" s="3" t="s">
        <v>1118</v>
      </c>
      <c r="D313" s="4"/>
      <c r="E313" s="4" t="s">
        <v>836</v>
      </c>
      <c r="F313" s="4" t="s">
        <v>235</v>
      </c>
      <c r="G313" s="5"/>
      <c r="H313" s="6"/>
      <c r="I313" s="6"/>
      <c r="J313" s="4" t="n">
        <v>0</v>
      </c>
      <c r="K313" s="7" t="n">
        <v>9900</v>
      </c>
      <c r="L313" s="8" t="n">
        <v>0</v>
      </c>
      <c r="M313" s="7" t="n">
        <v>9900</v>
      </c>
      <c r="N313" s="7"/>
      <c r="O313" s="9" t="str">
        <f aca="false">IF(AND(N(G313)&gt;0,N(M313)&gt;0),G313/M313,"")</f>
        <v/>
      </c>
      <c r="P313" s="7" t="n">
        <v>9900</v>
      </c>
      <c r="Q313" s="7" t="n">
        <v>9900</v>
      </c>
      <c r="R313" s="4" t="s">
        <v>65</v>
      </c>
      <c r="S313" s="7"/>
      <c r="T313" s="7"/>
      <c r="U313" s="7"/>
      <c r="V313" s="7"/>
      <c r="W313" s="10" t="s">
        <v>31</v>
      </c>
      <c r="X313" s="10" t="s">
        <v>31</v>
      </c>
    </row>
    <row r="314" customFormat="false" ht="15" hidden="false" customHeight="true" outlineLevel="0" collapsed="false">
      <c r="A314" s="3" t="s">
        <v>1119</v>
      </c>
      <c r="B314" s="3" t="s">
        <v>1120</v>
      </c>
      <c r="C314" s="3" t="s">
        <v>1121</v>
      </c>
      <c r="D314" s="4"/>
      <c r="E314" s="4" t="s">
        <v>836</v>
      </c>
      <c r="F314" s="4" t="s">
        <v>235</v>
      </c>
      <c r="G314" s="5"/>
      <c r="H314" s="6"/>
      <c r="I314" s="6"/>
      <c r="J314" s="4" t="n">
        <v>0</v>
      </c>
      <c r="K314" s="7" t="n">
        <v>7500</v>
      </c>
      <c r="L314" s="8" t="n">
        <v>0</v>
      </c>
      <c r="M314" s="7" t="n">
        <v>7500</v>
      </c>
      <c r="N314" s="7"/>
      <c r="O314" s="9" t="str">
        <f aca="false">IF(AND(N(G314)&gt;0,N(M314)&gt;0),G314/M314,"")</f>
        <v/>
      </c>
      <c r="P314" s="7" t="n">
        <v>7500</v>
      </c>
      <c r="Q314" s="7" t="n">
        <v>7500</v>
      </c>
      <c r="R314" s="4" t="s">
        <v>65</v>
      </c>
      <c r="S314" s="7"/>
      <c r="T314" s="7"/>
      <c r="U314" s="7"/>
      <c r="V314" s="7"/>
      <c r="W314" s="10" t="s">
        <v>31</v>
      </c>
      <c r="X314" s="10" t="s">
        <v>31</v>
      </c>
    </row>
    <row r="315" customFormat="false" ht="15" hidden="false" customHeight="true" outlineLevel="0" collapsed="false">
      <c r="A315" s="3" t="s">
        <v>1122</v>
      </c>
      <c r="B315" s="3" t="s">
        <v>1123</v>
      </c>
      <c r="C315" s="3" t="s">
        <v>1124</v>
      </c>
      <c r="D315" s="4"/>
      <c r="E315" s="4" t="s">
        <v>836</v>
      </c>
      <c r="F315" s="4" t="s">
        <v>235</v>
      </c>
      <c r="G315" s="5"/>
      <c r="H315" s="6"/>
      <c r="I315" s="6"/>
      <c r="J315" s="4" t="n">
        <v>0</v>
      </c>
      <c r="K315" s="7" t="n">
        <v>6820</v>
      </c>
      <c r="L315" s="8" t="n">
        <v>0</v>
      </c>
      <c r="M315" s="7" t="n">
        <v>6820</v>
      </c>
      <c r="N315" s="7"/>
      <c r="O315" s="9" t="str">
        <f aca="false">IF(AND(N(G315)&gt;0,N(M315)&gt;0),G315/M315,"")</f>
        <v/>
      </c>
      <c r="P315" s="7" t="n">
        <v>6820</v>
      </c>
      <c r="Q315" s="7" t="n">
        <v>6820</v>
      </c>
      <c r="R315" s="4" t="s">
        <v>65</v>
      </c>
      <c r="S315" s="7"/>
      <c r="T315" s="7"/>
      <c r="U315" s="7"/>
      <c r="V315" s="7"/>
      <c r="W315" s="10" t="s">
        <v>31</v>
      </c>
      <c r="X315" s="10" t="s">
        <v>31</v>
      </c>
    </row>
    <row r="316" customFormat="false" ht="15" hidden="false" customHeight="true" outlineLevel="0" collapsed="false">
      <c r="A316" s="3" t="s">
        <v>1125</v>
      </c>
      <c r="B316" s="3" t="s">
        <v>1126</v>
      </c>
      <c r="C316" s="3" t="s">
        <v>1127</v>
      </c>
      <c r="D316" s="4"/>
      <c r="E316" s="4" t="s">
        <v>836</v>
      </c>
      <c r="F316" s="4" t="s">
        <v>235</v>
      </c>
      <c r="G316" s="5"/>
      <c r="H316" s="6"/>
      <c r="I316" s="6"/>
      <c r="J316" s="4" t="n">
        <v>0</v>
      </c>
      <c r="K316" s="7" t="n">
        <v>4800</v>
      </c>
      <c r="L316" s="8" t="n">
        <v>0</v>
      </c>
      <c r="M316" s="7" t="n">
        <v>4800</v>
      </c>
      <c r="N316" s="7"/>
      <c r="O316" s="9" t="str">
        <f aca="false">IF(AND(N(G316)&gt;0,N(M316)&gt;0),G316/M316,"")</f>
        <v/>
      </c>
      <c r="P316" s="7" t="n">
        <v>4800</v>
      </c>
      <c r="Q316" s="7" t="n">
        <v>4800</v>
      </c>
      <c r="R316" s="4" t="s">
        <v>65</v>
      </c>
      <c r="S316" s="7"/>
      <c r="T316" s="7"/>
      <c r="U316" s="7"/>
      <c r="V316" s="7"/>
      <c r="W316" s="10" t="s">
        <v>31</v>
      </c>
      <c r="X316" s="10" t="s">
        <v>31</v>
      </c>
    </row>
    <row r="317" customFormat="false" ht="15" hidden="false" customHeight="true" outlineLevel="0" collapsed="false">
      <c r="A317" s="3" t="s">
        <v>1128</v>
      </c>
      <c r="B317" s="3" t="s">
        <v>1129</v>
      </c>
      <c r="C317" s="3" t="s">
        <v>1130</v>
      </c>
      <c r="D317" s="4"/>
      <c r="E317" s="4" t="s">
        <v>836</v>
      </c>
      <c r="F317" s="4" t="s">
        <v>235</v>
      </c>
      <c r="G317" s="5"/>
      <c r="H317" s="6"/>
      <c r="I317" s="6"/>
      <c r="J317" s="4" t="n">
        <v>0</v>
      </c>
      <c r="K317" s="7" t="n">
        <v>11550</v>
      </c>
      <c r="L317" s="8" t="n">
        <v>0</v>
      </c>
      <c r="M317" s="7" t="n">
        <v>11550</v>
      </c>
      <c r="N317" s="7"/>
      <c r="O317" s="9" t="str">
        <f aca="false">IF(AND(N(G317)&gt;0,N(M317)&gt;0),G317/M317,"")</f>
        <v/>
      </c>
      <c r="P317" s="7" t="n">
        <v>11550</v>
      </c>
      <c r="Q317" s="7" t="n">
        <v>11550</v>
      </c>
      <c r="R317" s="4" t="s">
        <v>65</v>
      </c>
      <c r="S317" s="7"/>
      <c r="T317" s="7"/>
      <c r="U317" s="7"/>
      <c r="V317" s="7"/>
      <c r="W317" s="10" t="s">
        <v>31</v>
      </c>
      <c r="X317" s="10" t="s">
        <v>31</v>
      </c>
    </row>
    <row r="318" customFormat="false" ht="15" hidden="false" customHeight="true" outlineLevel="0" collapsed="false">
      <c r="A318" s="3" t="s">
        <v>1131</v>
      </c>
      <c r="B318" s="3" t="s">
        <v>1132</v>
      </c>
      <c r="C318" s="3" t="s">
        <v>1133</v>
      </c>
      <c r="D318" s="4"/>
      <c r="E318" s="4" t="s">
        <v>836</v>
      </c>
      <c r="F318" s="4" t="s">
        <v>235</v>
      </c>
      <c r="G318" s="5"/>
      <c r="H318" s="6"/>
      <c r="I318" s="6"/>
      <c r="J318" s="4" t="n">
        <v>0</v>
      </c>
      <c r="K318" s="7" t="n">
        <v>4800</v>
      </c>
      <c r="L318" s="8" t="n">
        <v>0</v>
      </c>
      <c r="M318" s="7" t="n">
        <v>4800</v>
      </c>
      <c r="N318" s="7"/>
      <c r="O318" s="9" t="str">
        <f aca="false">IF(AND(N(G318)&gt;0,N(M318)&gt;0),G318/M318,"")</f>
        <v/>
      </c>
      <c r="P318" s="7" t="n">
        <v>4800</v>
      </c>
      <c r="Q318" s="7" t="n">
        <v>4800</v>
      </c>
      <c r="R318" s="4" t="s">
        <v>65</v>
      </c>
      <c r="S318" s="7"/>
      <c r="T318" s="7"/>
      <c r="U318" s="7"/>
      <c r="V318" s="7"/>
      <c r="W318" s="10" t="s">
        <v>31</v>
      </c>
      <c r="X318" s="10" t="s">
        <v>31</v>
      </c>
    </row>
    <row r="319" customFormat="false" ht="15" hidden="false" customHeight="true" outlineLevel="0" collapsed="false">
      <c r="A319" s="3" t="s">
        <v>1134</v>
      </c>
      <c r="B319" s="3" t="s">
        <v>1135</v>
      </c>
      <c r="C319" s="3" t="s">
        <v>1136</v>
      </c>
      <c r="D319" s="4"/>
      <c r="E319" s="4" t="s">
        <v>836</v>
      </c>
      <c r="F319" s="4" t="s">
        <v>235</v>
      </c>
      <c r="G319" s="5"/>
      <c r="H319" s="6"/>
      <c r="I319" s="6"/>
      <c r="J319" s="4" t="n">
        <v>0</v>
      </c>
      <c r="K319" s="7" t="n">
        <v>8800</v>
      </c>
      <c r="L319" s="8" t="n">
        <v>0</v>
      </c>
      <c r="M319" s="7" t="n">
        <v>8800</v>
      </c>
      <c r="N319" s="7"/>
      <c r="O319" s="9" t="str">
        <f aca="false">IF(AND(N(G319)&gt;0,N(M319)&gt;0),G319/M319,"")</f>
        <v/>
      </c>
      <c r="P319" s="7" t="n">
        <v>8800</v>
      </c>
      <c r="Q319" s="7" t="n">
        <v>8800</v>
      </c>
      <c r="R319" s="4" t="s">
        <v>65</v>
      </c>
      <c r="S319" s="7"/>
      <c r="T319" s="7"/>
      <c r="U319" s="7"/>
      <c r="V319" s="7"/>
      <c r="W319" s="10" t="s">
        <v>31</v>
      </c>
      <c r="X319" s="10" t="s">
        <v>31</v>
      </c>
    </row>
    <row r="320" customFormat="false" ht="15" hidden="false" customHeight="true" outlineLevel="0" collapsed="false">
      <c r="A320" s="3" t="s">
        <v>1137</v>
      </c>
      <c r="B320" s="3" t="s">
        <v>1138</v>
      </c>
      <c r="C320" s="3" t="s">
        <v>1139</v>
      </c>
      <c r="D320" s="4"/>
      <c r="E320" s="4" t="s">
        <v>836</v>
      </c>
      <c r="F320" s="4" t="s">
        <v>235</v>
      </c>
      <c r="G320" s="5"/>
      <c r="H320" s="6"/>
      <c r="I320" s="6"/>
      <c r="J320" s="4" t="n">
        <v>0</v>
      </c>
      <c r="K320" s="7" t="n">
        <v>8580</v>
      </c>
      <c r="L320" s="8" t="n">
        <v>0</v>
      </c>
      <c r="M320" s="7" t="n">
        <v>8580</v>
      </c>
      <c r="N320" s="7"/>
      <c r="O320" s="9" t="str">
        <f aca="false">IF(AND(N(G320)&gt;0,N(M320)&gt;0),G320/M320,"")</f>
        <v/>
      </c>
      <c r="P320" s="7" t="n">
        <v>8580</v>
      </c>
      <c r="Q320" s="7" t="n">
        <v>8580</v>
      </c>
      <c r="R320" s="4" t="s">
        <v>65</v>
      </c>
      <c r="S320" s="7"/>
      <c r="T320" s="7"/>
      <c r="U320" s="7"/>
      <c r="V320" s="7"/>
      <c r="W320" s="10" t="s">
        <v>31</v>
      </c>
      <c r="X320" s="10" t="s">
        <v>31</v>
      </c>
    </row>
    <row r="321" customFormat="false" ht="15" hidden="false" customHeight="true" outlineLevel="0" collapsed="false">
      <c r="A321" s="3" t="s">
        <v>1140</v>
      </c>
      <c r="B321" s="3" t="s">
        <v>1141</v>
      </c>
      <c r="C321" s="3" t="s">
        <v>1142</v>
      </c>
      <c r="D321" s="4"/>
      <c r="E321" s="4" t="s">
        <v>836</v>
      </c>
      <c r="F321" s="4" t="s">
        <v>235</v>
      </c>
      <c r="G321" s="5"/>
      <c r="H321" s="6"/>
      <c r="I321" s="6"/>
      <c r="J321" s="4" t="n">
        <v>0</v>
      </c>
      <c r="K321" s="7" t="n">
        <v>8030</v>
      </c>
      <c r="L321" s="8" t="n">
        <v>0</v>
      </c>
      <c r="M321" s="7" t="n">
        <v>8030</v>
      </c>
      <c r="N321" s="7"/>
      <c r="O321" s="9" t="str">
        <f aca="false">IF(AND(N(G321)&gt;0,N(M321)&gt;0),G321/M321,"")</f>
        <v/>
      </c>
      <c r="P321" s="7" t="n">
        <v>8030</v>
      </c>
      <c r="Q321" s="7" t="n">
        <v>8030</v>
      </c>
      <c r="R321" s="4" t="s">
        <v>65</v>
      </c>
      <c r="S321" s="7"/>
      <c r="T321" s="7"/>
      <c r="U321" s="7"/>
      <c r="V321" s="7"/>
      <c r="W321" s="10" t="s">
        <v>31</v>
      </c>
      <c r="X321" s="10" t="s">
        <v>31</v>
      </c>
    </row>
    <row r="322" customFormat="false" ht="15" hidden="false" customHeight="true" outlineLevel="0" collapsed="false">
      <c r="A322" s="3" t="s">
        <v>1143</v>
      </c>
      <c r="B322" s="3" t="s">
        <v>1144</v>
      </c>
      <c r="C322" s="3" t="s">
        <v>1145</v>
      </c>
      <c r="D322" s="4"/>
      <c r="E322" s="4" t="s">
        <v>836</v>
      </c>
      <c r="F322" s="4" t="s">
        <v>235</v>
      </c>
      <c r="G322" s="5"/>
      <c r="H322" s="6"/>
      <c r="I322" s="6"/>
      <c r="J322" s="4" t="n">
        <v>0</v>
      </c>
      <c r="K322" s="7" t="n">
        <v>9080</v>
      </c>
      <c r="L322" s="8" t="n">
        <v>0</v>
      </c>
      <c r="M322" s="7" t="n">
        <v>9080</v>
      </c>
      <c r="N322" s="7"/>
      <c r="O322" s="9" t="str">
        <f aca="false">IF(AND(N(G322)&gt;0,N(M322)&gt;0),G322/M322,"")</f>
        <v/>
      </c>
      <c r="P322" s="7" t="n">
        <v>9080</v>
      </c>
      <c r="Q322" s="7" t="n">
        <v>9080</v>
      </c>
      <c r="R322" s="4" t="s">
        <v>65</v>
      </c>
      <c r="S322" s="7"/>
      <c r="T322" s="7"/>
      <c r="U322" s="7"/>
      <c r="V322" s="7"/>
      <c r="W322" s="10" t="s">
        <v>31</v>
      </c>
      <c r="X322" s="10" t="s">
        <v>31</v>
      </c>
    </row>
    <row r="323" customFormat="false" ht="15" hidden="false" customHeight="true" outlineLevel="0" collapsed="false">
      <c r="A323" s="3" t="s">
        <v>1146</v>
      </c>
      <c r="B323" s="3" t="s">
        <v>1147</v>
      </c>
      <c r="C323" s="3" t="s">
        <v>1148</v>
      </c>
      <c r="D323" s="4"/>
      <c r="E323" s="4" t="s">
        <v>836</v>
      </c>
      <c r="F323" s="4" t="s">
        <v>235</v>
      </c>
      <c r="G323" s="5"/>
      <c r="H323" s="6"/>
      <c r="I323" s="6"/>
      <c r="J323" s="4" t="n">
        <v>0</v>
      </c>
      <c r="K323" s="7" t="n">
        <v>4850</v>
      </c>
      <c r="L323" s="8" t="n">
        <v>0</v>
      </c>
      <c r="M323" s="7" t="n">
        <v>4850</v>
      </c>
      <c r="N323" s="7"/>
      <c r="O323" s="9" t="str">
        <f aca="false">IF(AND(N(G323)&gt;0,N(M323)&gt;0),G323/M323,"")</f>
        <v/>
      </c>
      <c r="P323" s="7" t="n">
        <v>4850</v>
      </c>
      <c r="Q323" s="7" t="n">
        <v>4850</v>
      </c>
      <c r="R323" s="4" t="s">
        <v>65</v>
      </c>
      <c r="S323" s="7"/>
      <c r="T323" s="7"/>
      <c r="U323" s="7"/>
      <c r="V323" s="7"/>
      <c r="W323" s="10" t="s">
        <v>31</v>
      </c>
      <c r="X323" s="10" t="s">
        <v>31</v>
      </c>
    </row>
    <row r="324" customFormat="false" ht="15" hidden="false" customHeight="true" outlineLevel="0" collapsed="false">
      <c r="A324" s="3" t="s">
        <v>1149</v>
      </c>
      <c r="B324" s="3" t="s">
        <v>1150</v>
      </c>
      <c r="C324" s="3" t="s">
        <v>1151</v>
      </c>
      <c r="D324" s="4"/>
      <c r="E324" s="4" t="s">
        <v>1152</v>
      </c>
      <c r="F324" s="4" t="s">
        <v>235</v>
      </c>
      <c r="G324" s="5"/>
      <c r="H324" s="6"/>
      <c r="I324" s="6"/>
      <c r="J324" s="4" t="n">
        <v>0</v>
      </c>
      <c r="K324" s="7" t="n">
        <v>7480</v>
      </c>
      <c r="L324" s="8" t="n">
        <v>0</v>
      </c>
      <c r="M324" s="7" t="n">
        <v>7480</v>
      </c>
      <c r="N324" s="7"/>
      <c r="O324" s="9" t="str">
        <f aca="false">IF(AND(N(G324)&gt;0,N(M324)&gt;0),G324/M324,"")</f>
        <v/>
      </c>
      <c r="P324" s="7" t="n">
        <v>7480</v>
      </c>
      <c r="Q324" s="7" t="n">
        <v>7480</v>
      </c>
      <c r="R324" s="4" t="s">
        <v>65</v>
      </c>
      <c r="S324" s="7"/>
      <c r="T324" s="7"/>
      <c r="U324" s="7"/>
      <c r="V324" s="7"/>
      <c r="W324" s="10" t="s">
        <v>31</v>
      </c>
      <c r="X324" s="10" t="s">
        <v>31</v>
      </c>
    </row>
    <row r="325" customFormat="false" ht="15" hidden="false" customHeight="true" outlineLevel="0" collapsed="false">
      <c r="A325" s="3" t="s">
        <v>1153</v>
      </c>
      <c r="B325" s="3" t="s">
        <v>1154</v>
      </c>
      <c r="C325" s="3" t="s">
        <v>1155</v>
      </c>
      <c r="D325" s="4"/>
      <c r="E325" s="4" t="s">
        <v>1156</v>
      </c>
      <c r="F325" s="4" t="s">
        <v>235</v>
      </c>
      <c r="G325" s="5"/>
      <c r="H325" s="6"/>
      <c r="I325" s="6"/>
      <c r="J325" s="4" t="n">
        <v>0</v>
      </c>
      <c r="K325" s="7" t="n">
        <v>4800</v>
      </c>
      <c r="L325" s="8" t="n">
        <v>0</v>
      </c>
      <c r="M325" s="7" t="n">
        <v>4800</v>
      </c>
      <c r="N325" s="7"/>
      <c r="O325" s="9" t="str">
        <f aca="false">IF(AND(N(G325)&gt;0,N(M325)&gt;0),G325/M325,"")</f>
        <v/>
      </c>
      <c r="P325" s="7" t="n">
        <v>4800</v>
      </c>
      <c r="Q325" s="7" t="n">
        <v>4800</v>
      </c>
      <c r="R325" s="4" t="s">
        <v>65</v>
      </c>
      <c r="S325" s="7"/>
      <c r="T325" s="7"/>
      <c r="U325" s="7"/>
      <c r="V325" s="7"/>
      <c r="W325" s="10" t="s">
        <v>31</v>
      </c>
      <c r="X325" s="10" t="s">
        <v>31</v>
      </c>
    </row>
    <row r="326" customFormat="false" ht="15" hidden="false" customHeight="true" outlineLevel="0" collapsed="false">
      <c r="A326" s="3" t="s">
        <v>1157</v>
      </c>
      <c r="B326" s="3" t="s">
        <v>1158</v>
      </c>
      <c r="C326" s="3" t="s">
        <v>1159</v>
      </c>
      <c r="D326" s="4"/>
      <c r="E326" s="4" t="s">
        <v>1160</v>
      </c>
      <c r="F326" s="4" t="s">
        <v>235</v>
      </c>
      <c r="G326" s="5"/>
      <c r="H326" s="6"/>
      <c r="I326" s="6"/>
      <c r="J326" s="4" t="n">
        <v>0</v>
      </c>
      <c r="K326" s="7" t="n">
        <v>11500</v>
      </c>
      <c r="L326" s="8" t="n">
        <v>0</v>
      </c>
      <c r="M326" s="7" t="n">
        <v>11500</v>
      </c>
      <c r="N326" s="7"/>
      <c r="O326" s="9" t="str">
        <f aca="false">IF(AND(N(G326)&gt;0,N(M326)&gt;0),G326/M326,"")</f>
        <v/>
      </c>
      <c r="P326" s="7" t="n">
        <v>11500</v>
      </c>
      <c r="Q326" s="7" t="n">
        <v>11500</v>
      </c>
      <c r="R326" s="4" t="s">
        <v>65</v>
      </c>
      <c r="S326" s="7"/>
      <c r="T326" s="7"/>
      <c r="U326" s="7"/>
      <c r="V326" s="7"/>
      <c r="W326" s="10" t="s">
        <v>31</v>
      </c>
      <c r="X326" s="10" t="s">
        <v>31</v>
      </c>
    </row>
    <row r="327" customFormat="false" ht="15" hidden="false" customHeight="true" outlineLevel="0" collapsed="false">
      <c r="A327" s="3" t="s">
        <v>1161</v>
      </c>
      <c r="B327" s="3" t="s">
        <v>1162</v>
      </c>
      <c r="C327" s="3" t="s">
        <v>1163</v>
      </c>
      <c r="D327" s="4"/>
      <c r="E327" s="4" t="s">
        <v>1164</v>
      </c>
      <c r="F327" s="4" t="s">
        <v>235</v>
      </c>
      <c r="G327" s="11" t="n">
        <v>5000</v>
      </c>
      <c r="H327" s="12" t="s">
        <v>36</v>
      </c>
      <c r="I327" s="12" t="s">
        <v>37</v>
      </c>
      <c r="J327" s="4" t="n">
        <v>0</v>
      </c>
      <c r="K327" s="7" t="n">
        <v>22200</v>
      </c>
      <c r="L327" s="8" t="n">
        <v>0</v>
      </c>
      <c r="M327" s="7" t="n">
        <v>22200</v>
      </c>
      <c r="N327" s="7"/>
      <c r="O327" s="9" t="n">
        <f aca="false">IF(AND(N(G327)&gt;0,N(M327)&gt;0),G327/M327,"")</f>
        <v>0.225225225225225</v>
      </c>
      <c r="P327" s="7" t="n">
        <v>22200</v>
      </c>
      <c r="Q327" s="7" t="n">
        <v>22200</v>
      </c>
      <c r="R327" s="4" t="s">
        <v>65</v>
      </c>
      <c r="S327" s="7"/>
      <c r="T327" s="7"/>
      <c r="U327" s="7"/>
      <c r="V327" s="7"/>
      <c r="W327" s="10" t="s">
        <v>31</v>
      </c>
      <c r="X327" s="10" t="s">
        <v>31</v>
      </c>
    </row>
    <row r="328" customFormat="false" ht="15" hidden="false" customHeight="true" outlineLevel="0" collapsed="false">
      <c r="A328" s="3" t="s">
        <v>1165</v>
      </c>
      <c r="B328" s="3" t="s">
        <v>1166</v>
      </c>
      <c r="C328" s="3" t="s">
        <v>1167</v>
      </c>
      <c r="D328" s="4"/>
      <c r="E328" s="4" t="s">
        <v>849</v>
      </c>
      <c r="F328" s="4" t="s">
        <v>235</v>
      </c>
      <c r="G328" s="11" t="n">
        <v>1100</v>
      </c>
      <c r="H328" s="12" t="s">
        <v>36</v>
      </c>
      <c r="I328" s="12" t="s">
        <v>37</v>
      </c>
      <c r="J328" s="4" t="n">
        <v>0</v>
      </c>
      <c r="K328" s="7" t="n">
        <v>9000</v>
      </c>
      <c r="L328" s="8" t="n">
        <v>0</v>
      </c>
      <c r="M328" s="7" t="n">
        <v>9000</v>
      </c>
      <c r="N328" s="7"/>
      <c r="O328" s="9" t="n">
        <f aca="false">IF(AND(N(G328)&gt;0,N(M328)&gt;0),G328/M328,"")</f>
        <v>0.122222222222222</v>
      </c>
      <c r="P328" s="7" t="n">
        <v>9000</v>
      </c>
      <c r="Q328" s="7" t="n">
        <v>9000</v>
      </c>
      <c r="R328" s="4" t="s">
        <v>65</v>
      </c>
      <c r="S328" s="7"/>
      <c r="T328" s="7"/>
      <c r="U328" s="7"/>
      <c r="V328" s="7"/>
      <c r="W328" s="10" t="s">
        <v>31</v>
      </c>
      <c r="X328" s="10" t="s">
        <v>31</v>
      </c>
    </row>
    <row r="329" customFormat="false" ht="15" hidden="false" customHeight="true" outlineLevel="0" collapsed="false">
      <c r="A329" s="3" t="s">
        <v>1168</v>
      </c>
      <c r="B329" s="3" t="s">
        <v>1169</v>
      </c>
      <c r="C329" s="3" t="s">
        <v>1170</v>
      </c>
      <c r="D329" s="4"/>
      <c r="E329" s="4" t="s">
        <v>1171</v>
      </c>
      <c r="F329" s="4" t="s">
        <v>235</v>
      </c>
      <c r="G329" s="11" t="n">
        <v>1250</v>
      </c>
      <c r="H329" s="12" t="s">
        <v>36</v>
      </c>
      <c r="I329" s="12" t="s">
        <v>37</v>
      </c>
      <c r="J329" s="4" t="n">
        <v>0</v>
      </c>
      <c r="K329" s="7" t="n">
        <v>10800</v>
      </c>
      <c r="L329" s="8" t="n">
        <v>0</v>
      </c>
      <c r="M329" s="7" t="n">
        <v>10800</v>
      </c>
      <c r="N329" s="7"/>
      <c r="O329" s="9" t="n">
        <f aca="false">IF(AND(N(G329)&gt;0,N(M329)&gt;0),G329/M329,"")</f>
        <v>0.115740740740741</v>
      </c>
      <c r="P329" s="7" t="n">
        <v>10800</v>
      </c>
      <c r="Q329" s="7" t="n">
        <v>10800</v>
      </c>
      <c r="R329" s="4" t="s">
        <v>65</v>
      </c>
      <c r="S329" s="7"/>
      <c r="T329" s="7"/>
      <c r="U329" s="7"/>
      <c r="V329" s="7"/>
      <c r="W329" s="10" t="s">
        <v>31</v>
      </c>
      <c r="X329" s="10" t="s">
        <v>31</v>
      </c>
    </row>
    <row r="330" customFormat="false" ht="15" hidden="false" customHeight="true" outlineLevel="0" collapsed="false">
      <c r="A330" s="3" t="s">
        <v>1172</v>
      </c>
      <c r="B330" s="3" t="s">
        <v>1173</v>
      </c>
      <c r="C330" s="3" t="s">
        <v>1174</v>
      </c>
      <c r="D330" s="4"/>
      <c r="E330" s="4" t="s">
        <v>1175</v>
      </c>
      <c r="F330" s="4" t="s">
        <v>235</v>
      </c>
      <c r="G330" s="11" t="n">
        <v>1100</v>
      </c>
      <c r="H330" s="12" t="s">
        <v>36</v>
      </c>
      <c r="I330" s="12" t="s">
        <v>37</v>
      </c>
      <c r="J330" s="4" t="n">
        <v>0</v>
      </c>
      <c r="K330" s="7" t="n">
        <v>6500</v>
      </c>
      <c r="L330" s="8" t="n">
        <v>17</v>
      </c>
      <c r="M330" s="7" t="n">
        <v>5395</v>
      </c>
      <c r="N330" s="7"/>
      <c r="O330" s="9" t="n">
        <f aca="false">IF(AND(N(G330)&gt;0,N(M330)&gt;0),G330/M330,"")</f>
        <v>0.20389249304912</v>
      </c>
      <c r="P330" s="7" t="n">
        <v>6500</v>
      </c>
      <c r="Q330" s="7" t="n">
        <v>5395</v>
      </c>
      <c r="R330" s="4" t="s">
        <v>65</v>
      </c>
      <c r="S330" s="7"/>
      <c r="T330" s="7"/>
      <c r="U330" s="7"/>
      <c r="V330" s="7"/>
      <c r="W330" s="10" t="s">
        <v>31</v>
      </c>
      <c r="X330" s="10" t="s">
        <v>31</v>
      </c>
    </row>
    <row r="331" customFormat="false" ht="15" hidden="false" customHeight="true" outlineLevel="0" collapsed="false">
      <c r="A331" s="3" t="s">
        <v>1176</v>
      </c>
      <c r="B331" s="3" t="s">
        <v>1177</v>
      </c>
      <c r="C331" s="3" t="s">
        <v>1178</v>
      </c>
      <c r="D331" s="4"/>
      <c r="E331" s="4" t="s">
        <v>853</v>
      </c>
      <c r="F331" s="4" t="s">
        <v>235</v>
      </c>
      <c r="G331" s="5"/>
      <c r="H331" s="6"/>
      <c r="I331" s="6"/>
      <c r="J331" s="4" t="n">
        <v>0</v>
      </c>
      <c r="K331" s="7" t="n">
        <v>7300</v>
      </c>
      <c r="L331" s="8" t="n">
        <v>0</v>
      </c>
      <c r="M331" s="7" t="n">
        <v>7300</v>
      </c>
      <c r="N331" s="7"/>
      <c r="O331" s="9" t="str">
        <f aca="false">IF(AND(N(G331)&gt;0,N(M331)&gt;0),G331/M331,"")</f>
        <v/>
      </c>
      <c r="P331" s="7" t="n">
        <v>7300</v>
      </c>
      <c r="Q331" s="7" t="n">
        <v>7300</v>
      </c>
      <c r="R331" s="4" t="s">
        <v>65</v>
      </c>
      <c r="S331" s="7"/>
      <c r="T331" s="7"/>
      <c r="U331" s="7"/>
      <c r="V331" s="7"/>
      <c r="W331" s="10" t="s">
        <v>31</v>
      </c>
      <c r="X331" s="10" t="s">
        <v>31</v>
      </c>
    </row>
    <row r="332" customFormat="false" ht="15" hidden="false" customHeight="true" outlineLevel="0" collapsed="false">
      <c r="A332" s="3" t="s">
        <v>1179</v>
      </c>
      <c r="B332" s="3" t="s">
        <v>1180</v>
      </c>
      <c r="C332" s="3" t="s">
        <v>1181</v>
      </c>
      <c r="D332" s="4"/>
      <c r="E332" s="4" t="s">
        <v>853</v>
      </c>
      <c r="F332" s="4" t="s">
        <v>235</v>
      </c>
      <c r="G332" s="5"/>
      <c r="H332" s="6"/>
      <c r="I332" s="6"/>
      <c r="J332" s="4" t="n">
        <v>0</v>
      </c>
      <c r="K332" s="7" t="n">
        <v>5000</v>
      </c>
      <c r="L332" s="8" t="n">
        <v>0</v>
      </c>
      <c r="M332" s="7" t="n">
        <v>5000</v>
      </c>
      <c r="N332" s="7"/>
      <c r="O332" s="9" t="str">
        <f aca="false">IF(AND(N(G332)&gt;0,N(M332)&gt;0),G332/M332,"")</f>
        <v/>
      </c>
      <c r="P332" s="7" t="n">
        <v>5000</v>
      </c>
      <c r="Q332" s="7" t="n">
        <v>5000</v>
      </c>
      <c r="R332" s="4" t="s">
        <v>65</v>
      </c>
      <c r="S332" s="7"/>
      <c r="T332" s="7"/>
      <c r="U332" s="7"/>
      <c r="V332" s="7"/>
      <c r="W332" s="10" t="s">
        <v>31</v>
      </c>
      <c r="X332" s="10" t="s">
        <v>31</v>
      </c>
    </row>
    <row r="333" customFormat="false" ht="15" hidden="false" customHeight="true" outlineLevel="0" collapsed="false">
      <c r="A333" s="3" t="s">
        <v>1182</v>
      </c>
      <c r="B333" s="3" t="s">
        <v>1183</v>
      </c>
      <c r="C333" s="3" t="s">
        <v>1184</v>
      </c>
      <c r="D333" s="4"/>
      <c r="E333" s="4" t="s">
        <v>853</v>
      </c>
      <c r="F333" s="4" t="s">
        <v>235</v>
      </c>
      <c r="G333" s="5"/>
      <c r="H333" s="6"/>
      <c r="I333" s="6"/>
      <c r="J333" s="4" t="n">
        <v>0</v>
      </c>
      <c r="K333" s="7" t="n">
        <v>4800</v>
      </c>
      <c r="L333" s="8" t="n">
        <v>0</v>
      </c>
      <c r="M333" s="7" t="n">
        <v>4800</v>
      </c>
      <c r="N333" s="7"/>
      <c r="O333" s="9" t="str">
        <f aca="false">IF(AND(N(G333)&gt;0,N(M333)&gt;0),G333/M333,"")</f>
        <v/>
      </c>
      <c r="P333" s="7" t="n">
        <v>4800</v>
      </c>
      <c r="Q333" s="7" t="n">
        <v>4800</v>
      </c>
      <c r="R333" s="4" t="s">
        <v>65</v>
      </c>
      <c r="S333" s="7"/>
      <c r="T333" s="7"/>
      <c r="U333" s="7"/>
      <c r="V333" s="7"/>
      <c r="W333" s="10" t="s">
        <v>31</v>
      </c>
      <c r="X333" s="10" t="s">
        <v>31</v>
      </c>
    </row>
    <row r="334" customFormat="false" ht="15" hidden="false" customHeight="true" outlineLevel="0" collapsed="false">
      <c r="A334" s="3" t="s">
        <v>1185</v>
      </c>
      <c r="B334" s="3" t="s">
        <v>1186</v>
      </c>
      <c r="C334" s="3" t="s">
        <v>1187</v>
      </c>
      <c r="D334" s="4"/>
      <c r="E334" s="4" t="s">
        <v>1188</v>
      </c>
      <c r="F334" s="4" t="s">
        <v>235</v>
      </c>
      <c r="G334" s="5"/>
      <c r="H334" s="6"/>
      <c r="I334" s="6"/>
      <c r="J334" s="4" t="n">
        <v>0</v>
      </c>
      <c r="K334" s="7" t="n">
        <v>16500</v>
      </c>
      <c r="L334" s="8" t="n">
        <v>0</v>
      </c>
      <c r="M334" s="7" t="n">
        <v>16500</v>
      </c>
      <c r="N334" s="7"/>
      <c r="O334" s="9" t="str">
        <f aca="false">IF(AND(N(G334)&gt;0,N(M334)&gt;0),G334/M334,"")</f>
        <v/>
      </c>
      <c r="P334" s="7" t="n">
        <v>16500</v>
      </c>
      <c r="Q334" s="7" t="n">
        <v>16500</v>
      </c>
      <c r="R334" s="4" t="s">
        <v>65</v>
      </c>
      <c r="S334" s="7"/>
      <c r="T334" s="7"/>
      <c r="U334" s="7"/>
      <c r="V334" s="7"/>
      <c r="W334" s="10" t="s">
        <v>31</v>
      </c>
      <c r="X334" s="10" t="s">
        <v>31</v>
      </c>
    </row>
    <row r="335" customFormat="false" ht="15" hidden="false" customHeight="true" outlineLevel="0" collapsed="false">
      <c r="A335" s="3" t="s">
        <v>1189</v>
      </c>
      <c r="B335" s="3" t="s">
        <v>1190</v>
      </c>
      <c r="C335" s="3" t="s">
        <v>1191</v>
      </c>
      <c r="D335" s="4"/>
      <c r="E335" s="4" t="s">
        <v>1192</v>
      </c>
      <c r="F335" s="4" t="s">
        <v>235</v>
      </c>
      <c r="G335" s="5"/>
      <c r="H335" s="6"/>
      <c r="I335" s="6"/>
      <c r="J335" s="4" t="n">
        <v>0</v>
      </c>
      <c r="K335" s="7" t="n">
        <v>8680</v>
      </c>
      <c r="L335" s="8" t="n">
        <v>0</v>
      </c>
      <c r="M335" s="7" t="n">
        <v>8680</v>
      </c>
      <c r="N335" s="7"/>
      <c r="O335" s="9" t="str">
        <f aca="false">IF(AND(N(G335)&gt;0,N(M335)&gt;0),G335/M335,"")</f>
        <v/>
      </c>
      <c r="P335" s="7" t="n">
        <v>8680</v>
      </c>
      <c r="Q335" s="7" t="n">
        <v>8680</v>
      </c>
      <c r="R335" s="4" t="s">
        <v>65</v>
      </c>
      <c r="S335" s="7"/>
      <c r="T335" s="7"/>
      <c r="U335" s="7"/>
      <c r="V335" s="7"/>
      <c r="W335" s="10" t="s">
        <v>31</v>
      </c>
      <c r="X335" s="10" t="s">
        <v>31</v>
      </c>
    </row>
    <row r="336" customFormat="false" ht="15" hidden="false" customHeight="true" outlineLevel="0" collapsed="false">
      <c r="A336" s="3" t="s">
        <v>1193</v>
      </c>
      <c r="B336" s="3" t="s">
        <v>1194</v>
      </c>
      <c r="C336" s="3" t="s">
        <v>1195</v>
      </c>
      <c r="D336" s="4"/>
      <c r="E336" s="4" t="s">
        <v>282</v>
      </c>
      <c r="F336" s="4" t="s">
        <v>235</v>
      </c>
      <c r="G336" s="5"/>
      <c r="H336" s="6"/>
      <c r="I336" s="6"/>
      <c r="J336" s="4" t="n">
        <v>0</v>
      </c>
      <c r="K336" s="7" t="n">
        <v>49500</v>
      </c>
      <c r="L336" s="8" t="n">
        <v>29</v>
      </c>
      <c r="M336" s="7" t="n">
        <v>35145</v>
      </c>
      <c r="N336" s="7"/>
      <c r="O336" s="9" t="str">
        <f aca="false">IF(AND(N(G336)&gt;0,N(M336)&gt;0),G336/M336,"")</f>
        <v/>
      </c>
      <c r="P336" s="7" t="n">
        <v>49500</v>
      </c>
      <c r="Q336" s="7" t="n">
        <v>35145</v>
      </c>
      <c r="R336" s="4" t="s">
        <v>30</v>
      </c>
      <c r="S336" s="7" t="n">
        <v>48670</v>
      </c>
      <c r="T336" s="7" t="n">
        <v>59250</v>
      </c>
      <c r="U336" s="7" t="n">
        <v>48780</v>
      </c>
      <c r="V336" s="7" t="n">
        <v>59250</v>
      </c>
      <c r="W336" s="10" t="s">
        <v>31</v>
      </c>
      <c r="X336" s="10" t="s">
        <v>31</v>
      </c>
    </row>
    <row r="337" customFormat="false" ht="15" hidden="false" customHeight="true" outlineLevel="0" collapsed="false">
      <c r="A337" s="3" t="s">
        <v>1196</v>
      </c>
      <c r="B337" s="3" t="s">
        <v>1197</v>
      </c>
      <c r="C337" s="3" t="s">
        <v>1198</v>
      </c>
      <c r="D337" s="4"/>
      <c r="E337" s="4" t="s">
        <v>282</v>
      </c>
      <c r="F337" s="4" t="s">
        <v>235</v>
      </c>
      <c r="G337" s="11" t="n">
        <v>3800</v>
      </c>
      <c r="H337" s="12" t="s">
        <v>36</v>
      </c>
      <c r="I337" s="12" t="s">
        <v>37</v>
      </c>
      <c r="J337" s="4" t="n">
        <v>0</v>
      </c>
      <c r="K337" s="7" t="n">
        <v>14500</v>
      </c>
      <c r="L337" s="8" t="n">
        <v>20</v>
      </c>
      <c r="M337" s="7" t="n">
        <v>11600</v>
      </c>
      <c r="N337" s="7"/>
      <c r="O337" s="9" t="n">
        <f aca="false">IF(AND(N(G337)&gt;0,N(M337)&gt;0),G337/M337,"")</f>
        <v>0.327586206896552</v>
      </c>
      <c r="P337" s="7" t="n">
        <v>14500</v>
      </c>
      <c r="Q337" s="7" t="n">
        <v>11600</v>
      </c>
      <c r="R337" s="4" t="s">
        <v>65</v>
      </c>
      <c r="S337" s="7"/>
      <c r="T337" s="7"/>
      <c r="U337" s="7"/>
      <c r="V337" s="7"/>
      <c r="W337" s="10" t="s">
        <v>31</v>
      </c>
      <c r="X337" s="10" t="s">
        <v>31</v>
      </c>
    </row>
    <row r="338" customFormat="false" ht="15" hidden="false" customHeight="true" outlineLevel="0" collapsed="false">
      <c r="A338" s="3" t="s">
        <v>1199</v>
      </c>
      <c r="B338" s="3" t="s">
        <v>1200</v>
      </c>
      <c r="C338" s="3" t="s">
        <v>1201</v>
      </c>
      <c r="D338" s="4"/>
      <c r="E338" s="4" t="s">
        <v>282</v>
      </c>
      <c r="F338" s="4" t="s">
        <v>235</v>
      </c>
      <c r="G338" s="5"/>
      <c r="H338" s="6"/>
      <c r="I338" s="6"/>
      <c r="J338" s="4" t="n">
        <v>0</v>
      </c>
      <c r="K338" s="7" t="n">
        <v>9100</v>
      </c>
      <c r="L338" s="8" t="n">
        <v>0</v>
      </c>
      <c r="M338" s="7" t="n">
        <v>9100</v>
      </c>
      <c r="N338" s="7"/>
      <c r="O338" s="9" t="str">
        <f aca="false">IF(AND(N(G338)&gt;0,N(M338)&gt;0),G338/M338,"")</f>
        <v/>
      </c>
      <c r="P338" s="7" t="n">
        <v>9100</v>
      </c>
      <c r="Q338" s="7" t="n">
        <v>9100</v>
      </c>
      <c r="R338" s="4" t="s">
        <v>65</v>
      </c>
      <c r="S338" s="7"/>
      <c r="T338" s="7"/>
      <c r="U338" s="7"/>
      <c r="V338" s="7"/>
      <c r="W338" s="10" t="s">
        <v>31</v>
      </c>
      <c r="X338" s="10" t="s">
        <v>31</v>
      </c>
    </row>
    <row r="339" customFormat="false" ht="15" hidden="false" customHeight="true" outlineLevel="0" collapsed="false">
      <c r="A339" s="3" t="s">
        <v>1202</v>
      </c>
      <c r="B339" s="3" t="s">
        <v>1203</v>
      </c>
      <c r="C339" s="3" t="s">
        <v>1204</v>
      </c>
      <c r="D339" s="4"/>
      <c r="E339" s="4" t="s">
        <v>282</v>
      </c>
      <c r="F339" s="4" t="s">
        <v>235</v>
      </c>
      <c r="G339" s="11" t="n">
        <v>5000</v>
      </c>
      <c r="H339" s="12" t="s">
        <v>36</v>
      </c>
      <c r="I339" s="12" t="s">
        <v>37</v>
      </c>
      <c r="J339" s="4" t="n">
        <v>0</v>
      </c>
      <c r="K339" s="7" t="n">
        <v>33600</v>
      </c>
      <c r="L339" s="8" t="n">
        <v>0</v>
      </c>
      <c r="M339" s="7" t="n">
        <v>33600</v>
      </c>
      <c r="N339" s="7"/>
      <c r="O339" s="9" t="n">
        <f aca="false">IF(AND(N(G339)&gt;0,N(M339)&gt;0),G339/M339,"")</f>
        <v>0.148809523809524</v>
      </c>
      <c r="P339" s="7" t="n">
        <v>33600</v>
      </c>
      <c r="Q339" s="7" t="n">
        <v>33600</v>
      </c>
      <c r="R339" s="4" t="s">
        <v>65</v>
      </c>
      <c r="S339" s="7"/>
      <c r="T339" s="7"/>
      <c r="U339" s="7"/>
      <c r="V339" s="7"/>
      <c r="W339" s="10" t="s">
        <v>31</v>
      </c>
      <c r="X339" s="10" t="s">
        <v>31</v>
      </c>
    </row>
    <row r="340" customFormat="false" ht="15" hidden="false" customHeight="true" outlineLevel="0" collapsed="false">
      <c r="A340" s="3" t="s">
        <v>1205</v>
      </c>
      <c r="B340" s="3" t="s">
        <v>1206</v>
      </c>
      <c r="C340" s="3" t="s">
        <v>1207</v>
      </c>
      <c r="D340" s="4"/>
      <c r="E340" s="4" t="s">
        <v>1208</v>
      </c>
      <c r="F340" s="4" t="s">
        <v>235</v>
      </c>
      <c r="G340" s="5"/>
      <c r="H340" s="6"/>
      <c r="I340" s="6"/>
      <c r="J340" s="4" t="n">
        <v>0</v>
      </c>
      <c r="K340" s="7" t="n">
        <v>10800</v>
      </c>
      <c r="L340" s="8" t="n">
        <v>0</v>
      </c>
      <c r="M340" s="7" t="n">
        <v>10800</v>
      </c>
      <c r="N340" s="7"/>
      <c r="O340" s="9" t="str">
        <f aca="false">IF(AND(N(G340)&gt;0,N(M340)&gt;0),G340/M340,"")</f>
        <v/>
      </c>
      <c r="P340" s="7" t="n">
        <v>10800</v>
      </c>
      <c r="Q340" s="7" t="n">
        <v>10800</v>
      </c>
      <c r="R340" s="4" t="s">
        <v>65</v>
      </c>
      <c r="S340" s="7"/>
      <c r="T340" s="7"/>
      <c r="U340" s="7"/>
      <c r="V340" s="7"/>
      <c r="W340" s="10" t="s">
        <v>31</v>
      </c>
      <c r="X340" s="10" t="s">
        <v>31</v>
      </c>
    </row>
    <row r="341" customFormat="false" ht="15" hidden="false" customHeight="true" outlineLevel="0" collapsed="false">
      <c r="A341" s="3" t="s">
        <v>1209</v>
      </c>
      <c r="B341" s="3" t="s">
        <v>1210</v>
      </c>
      <c r="C341" s="3" t="s">
        <v>1211</v>
      </c>
      <c r="D341" s="4"/>
      <c r="E341" s="4" t="s">
        <v>1208</v>
      </c>
      <c r="F341" s="4" t="s">
        <v>235</v>
      </c>
      <c r="G341" s="5"/>
      <c r="H341" s="6"/>
      <c r="I341" s="6"/>
      <c r="J341" s="4" t="n">
        <v>0</v>
      </c>
      <c r="K341" s="7" t="n">
        <v>5500</v>
      </c>
      <c r="L341" s="8" t="n">
        <v>0</v>
      </c>
      <c r="M341" s="7" t="n">
        <v>5500</v>
      </c>
      <c r="N341" s="7"/>
      <c r="O341" s="9" t="str">
        <f aca="false">IF(AND(N(G341)&gt;0,N(M341)&gt;0),G341/M341,"")</f>
        <v/>
      </c>
      <c r="P341" s="7" t="n">
        <v>5500</v>
      </c>
      <c r="Q341" s="7" t="n">
        <v>5500</v>
      </c>
      <c r="R341" s="4" t="s">
        <v>65</v>
      </c>
      <c r="S341" s="7"/>
      <c r="T341" s="7"/>
      <c r="U341" s="7"/>
      <c r="V341" s="7"/>
      <c r="W341" s="10" t="s">
        <v>31</v>
      </c>
      <c r="X341" s="10" t="s">
        <v>31</v>
      </c>
    </row>
    <row r="342" customFormat="false" ht="15" hidden="false" customHeight="true" outlineLevel="0" collapsed="false">
      <c r="A342" s="3" t="s">
        <v>1212</v>
      </c>
      <c r="B342" s="3" t="s">
        <v>1213</v>
      </c>
      <c r="C342" s="3" t="s">
        <v>1214</v>
      </c>
      <c r="D342" s="4"/>
      <c r="E342" s="4" t="s">
        <v>1208</v>
      </c>
      <c r="F342" s="4" t="s">
        <v>235</v>
      </c>
      <c r="G342" s="5"/>
      <c r="H342" s="6"/>
      <c r="I342" s="6"/>
      <c r="J342" s="4" t="n">
        <v>0</v>
      </c>
      <c r="K342" s="7" t="n">
        <v>5500</v>
      </c>
      <c r="L342" s="8" t="n">
        <v>0</v>
      </c>
      <c r="M342" s="7" t="n">
        <v>5500</v>
      </c>
      <c r="N342" s="7"/>
      <c r="O342" s="9" t="str">
        <f aca="false">IF(AND(N(G342)&gt;0,N(M342)&gt;0),G342/M342,"")</f>
        <v/>
      </c>
      <c r="P342" s="7" t="n">
        <v>5500</v>
      </c>
      <c r="Q342" s="7" t="n">
        <v>5500</v>
      </c>
      <c r="R342" s="4" t="s">
        <v>65</v>
      </c>
      <c r="S342" s="7"/>
      <c r="T342" s="7"/>
      <c r="U342" s="7"/>
      <c r="V342" s="7"/>
      <c r="W342" s="10" t="s">
        <v>31</v>
      </c>
      <c r="X342" s="10" t="s">
        <v>31</v>
      </c>
    </row>
    <row r="343" customFormat="false" ht="15" hidden="false" customHeight="true" outlineLevel="0" collapsed="false">
      <c r="A343" s="3" t="s">
        <v>1215</v>
      </c>
      <c r="B343" s="3" t="s">
        <v>1216</v>
      </c>
      <c r="C343" s="3" t="s">
        <v>1217</v>
      </c>
      <c r="D343" s="4"/>
      <c r="E343" s="4" t="s">
        <v>1218</v>
      </c>
      <c r="F343" s="4" t="s">
        <v>235</v>
      </c>
      <c r="G343" s="5"/>
      <c r="H343" s="6"/>
      <c r="I343" s="6"/>
      <c r="J343" s="4" t="n">
        <v>0</v>
      </c>
      <c r="K343" s="7" t="n">
        <v>4850</v>
      </c>
      <c r="L343" s="8" t="n">
        <v>0</v>
      </c>
      <c r="M343" s="7" t="n">
        <v>4850</v>
      </c>
      <c r="N343" s="7"/>
      <c r="O343" s="9" t="str">
        <f aca="false">IF(AND(N(G343)&gt;0,N(M343)&gt;0),G343/M343,"")</f>
        <v/>
      </c>
      <c r="P343" s="7" t="n">
        <v>4850</v>
      </c>
      <c r="Q343" s="7" t="n">
        <v>4850</v>
      </c>
      <c r="R343" s="4" t="s">
        <v>65</v>
      </c>
      <c r="S343" s="7"/>
      <c r="T343" s="7"/>
      <c r="U343" s="7"/>
      <c r="V343" s="7"/>
      <c r="W343" s="10" t="s">
        <v>31</v>
      </c>
      <c r="X343" s="10" t="s">
        <v>31</v>
      </c>
    </row>
    <row r="344" customFormat="false" ht="15" hidden="false" customHeight="true" outlineLevel="0" collapsed="false">
      <c r="A344" s="3" t="s">
        <v>1219</v>
      </c>
      <c r="B344" s="3" t="s">
        <v>1220</v>
      </c>
      <c r="C344" s="3" t="s">
        <v>1221</v>
      </c>
      <c r="D344" s="4"/>
      <c r="E344" s="4" t="s">
        <v>1222</v>
      </c>
      <c r="F344" s="4" t="s">
        <v>235</v>
      </c>
      <c r="G344" s="5"/>
      <c r="H344" s="6"/>
      <c r="I344" s="6"/>
      <c r="J344" s="4" t="n">
        <v>0</v>
      </c>
      <c r="K344" s="7" t="n">
        <v>38000</v>
      </c>
      <c r="L344" s="8" t="n">
        <v>0</v>
      </c>
      <c r="M344" s="7" t="n">
        <v>38000</v>
      </c>
      <c r="N344" s="7"/>
      <c r="O344" s="9" t="str">
        <f aca="false">IF(AND(N(G344)&gt;0,N(M344)&gt;0),G344/M344,"")</f>
        <v/>
      </c>
      <c r="P344" s="7" t="n">
        <v>38000</v>
      </c>
      <c r="Q344" s="7" t="n">
        <v>38000</v>
      </c>
      <c r="R344" s="4" t="s">
        <v>65</v>
      </c>
      <c r="S344" s="7"/>
      <c r="T344" s="7"/>
      <c r="U344" s="7"/>
      <c r="V344" s="7"/>
      <c r="W344" s="10" t="s">
        <v>31</v>
      </c>
      <c r="X344" s="10" t="s">
        <v>31</v>
      </c>
    </row>
    <row r="345" customFormat="false" ht="15" hidden="false" customHeight="true" outlineLevel="0" collapsed="false">
      <c r="A345" s="3" t="s">
        <v>1223</v>
      </c>
      <c r="B345" s="3" t="s">
        <v>1224</v>
      </c>
      <c r="C345" s="3" t="s">
        <v>1225</v>
      </c>
      <c r="D345" s="4"/>
      <c r="E345" s="4" t="s">
        <v>1226</v>
      </c>
      <c r="F345" s="4" t="s">
        <v>235</v>
      </c>
      <c r="G345" s="11" t="n">
        <v>1250</v>
      </c>
      <c r="H345" s="12" t="s">
        <v>36</v>
      </c>
      <c r="I345" s="12" t="s">
        <v>37</v>
      </c>
      <c r="J345" s="4" t="n">
        <v>0</v>
      </c>
      <c r="K345" s="7" t="n">
        <v>9000</v>
      </c>
      <c r="L345" s="8" t="n">
        <v>0</v>
      </c>
      <c r="M345" s="7" t="n">
        <v>9000</v>
      </c>
      <c r="N345" s="7"/>
      <c r="O345" s="9" t="n">
        <f aca="false">IF(AND(N(G345)&gt;0,N(M345)&gt;0),G345/M345,"")</f>
        <v>0.138888888888889</v>
      </c>
      <c r="P345" s="7" t="n">
        <v>9000</v>
      </c>
      <c r="Q345" s="7" t="n">
        <v>9000</v>
      </c>
      <c r="R345" s="4" t="s">
        <v>65</v>
      </c>
      <c r="S345" s="7"/>
      <c r="T345" s="7"/>
      <c r="U345" s="7"/>
      <c r="V345" s="7"/>
      <c r="W345" s="10" t="s">
        <v>31</v>
      </c>
      <c r="X345" s="10" t="s">
        <v>31</v>
      </c>
    </row>
    <row r="346" customFormat="false" ht="15" hidden="false" customHeight="true" outlineLevel="0" collapsed="false">
      <c r="A346" s="3" t="s">
        <v>1227</v>
      </c>
      <c r="B346" s="3" t="s">
        <v>1228</v>
      </c>
      <c r="C346" s="3" t="s">
        <v>1229</v>
      </c>
      <c r="D346" s="4"/>
      <c r="E346" s="4" t="s">
        <v>1230</v>
      </c>
      <c r="F346" s="4" t="s">
        <v>293</v>
      </c>
      <c r="G346" s="5"/>
      <c r="H346" s="6"/>
      <c r="I346" s="6"/>
      <c r="J346" s="4" t="n">
        <v>0</v>
      </c>
      <c r="K346" s="7" t="n">
        <v>10200</v>
      </c>
      <c r="L346" s="8" t="n">
        <v>0</v>
      </c>
      <c r="M346" s="7" t="n">
        <v>10200</v>
      </c>
      <c r="N346" s="7"/>
      <c r="O346" s="9" t="str">
        <f aca="false">IF(AND(N(G346)&gt;0,N(M346)&gt;0),G346/M346,"")</f>
        <v/>
      </c>
      <c r="P346" s="7" t="n">
        <v>10200</v>
      </c>
      <c r="Q346" s="7" t="n">
        <v>10200</v>
      </c>
      <c r="R346" s="4" t="s">
        <v>65</v>
      </c>
      <c r="S346" s="7"/>
      <c r="T346" s="7"/>
      <c r="U346" s="7"/>
      <c r="V346" s="7"/>
      <c r="W346" s="10" t="s">
        <v>31</v>
      </c>
      <c r="X346" s="10" t="s">
        <v>31</v>
      </c>
    </row>
    <row r="347" customFormat="false" ht="15" hidden="false" customHeight="true" outlineLevel="0" collapsed="false">
      <c r="A347" s="3" t="s">
        <v>1231</v>
      </c>
      <c r="B347" s="3" t="s">
        <v>1232</v>
      </c>
      <c r="C347" s="3" t="s">
        <v>1233</v>
      </c>
      <c r="D347" s="4"/>
      <c r="E347" s="4" t="s">
        <v>1234</v>
      </c>
      <c r="F347" s="4" t="s">
        <v>293</v>
      </c>
      <c r="G347" s="5"/>
      <c r="H347" s="6"/>
      <c r="I347" s="6"/>
      <c r="J347" s="4" t="n">
        <v>0</v>
      </c>
      <c r="K347" s="7" t="n">
        <v>13400</v>
      </c>
      <c r="L347" s="8" t="n">
        <v>0</v>
      </c>
      <c r="M347" s="7" t="n">
        <v>13400</v>
      </c>
      <c r="N347" s="7"/>
      <c r="O347" s="9" t="str">
        <f aca="false">IF(AND(N(G347)&gt;0,N(M347)&gt;0),G347/M347,"")</f>
        <v/>
      </c>
      <c r="P347" s="7" t="n">
        <v>13400</v>
      </c>
      <c r="Q347" s="7" t="n">
        <v>13400</v>
      </c>
      <c r="R347" s="4" t="s">
        <v>65</v>
      </c>
      <c r="S347" s="7"/>
      <c r="T347" s="7"/>
      <c r="U347" s="7"/>
      <c r="V347" s="7"/>
      <c r="W347" s="10" t="s">
        <v>31</v>
      </c>
      <c r="X347" s="10" t="s">
        <v>31</v>
      </c>
    </row>
    <row r="348" customFormat="false" ht="15" hidden="false" customHeight="true" outlineLevel="0" collapsed="false">
      <c r="A348" s="3" t="s">
        <v>1235</v>
      </c>
      <c r="B348" s="3" t="s">
        <v>1236</v>
      </c>
      <c r="C348" s="3" t="s">
        <v>1237</v>
      </c>
      <c r="D348" s="4"/>
      <c r="E348" s="4" t="s">
        <v>1238</v>
      </c>
      <c r="F348" s="4" t="s">
        <v>293</v>
      </c>
      <c r="G348" s="5"/>
      <c r="H348" s="6"/>
      <c r="I348" s="6"/>
      <c r="J348" s="4" t="n">
        <v>0</v>
      </c>
      <c r="K348" s="7" t="n">
        <v>11000</v>
      </c>
      <c r="L348" s="8" t="n">
        <v>0</v>
      </c>
      <c r="M348" s="7" t="n">
        <v>11000</v>
      </c>
      <c r="N348" s="7"/>
      <c r="O348" s="9" t="str">
        <f aca="false">IF(AND(N(G348)&gt;0,N(M348)&gt;0),G348/M348,"")</f>
        <v/>
      </c>
      <c r="P348" s="7" t="n">
        <v>11000</v>
      </c>
      <c r="Q348" s="7" t="n">
        <v>11000</v>
      </c>
      <c r="R348" s="4" t="s">
        <v>65</v>
      </c>
      <c r="S348" s="7"/>
      <c r="T348" s="7"/>
      <c r="U348" s="7"/>
      <c r="V348" s="7"/>
      <c r="W348" s="10" t="s">
        <v>31</v>
      </c>
      <c r="X348" s="10" t="s">
        <v>31</v>
      </c>
    </row>
    <row r="349" customFormat="false" ht="15" hidden="false" customHeight="true" outlineLevel="0" collapsed="false">
      <c r="A349" s="3" t="s">
        <v>1239</v>
      </c>
      <c r="B349" s="3" t="s">
        <v>1240</v>
      </c>
      <c r="C349" s="3" t="s">
        <v>1241</v>
      </c>
      <c r="D349" s="4"/>
      <c r="E349" s="4" t="s">
        <v>608</v>
      </c>
      <c r="F349" s="4" t="s">
        <v>293</v>
      </c>
      <c r="G349" s="11" t="n">
        <v>700</v>
      </c>
      <c r="H349" s="12" t="s">
        <v>36</v>
      </c>
      <c r="I349" s="12" t="s">
        <v>37</v>
      </c>
      <c r="J349" s="4" t="n">
        <v>0</v>
      </c>
      <c r="K349" s="7" t="n">
        <v>9000</v>
      </c>
      <c r="L349" s="8" t="n">
        <v>0</v>
      </c>
      <c r="M349" s="7" t="n">
        <v>9000</v>
      </c>
      <c r="N349" s="7"/>
      <c r="O349" s="9" t="n">
        <f aca="false">IF(AND(N(G349)&gt;0,N(M349)&gt;0),G349/M349,"")</f>
        <v>0.0777777777777778</v>
      </c>
      <c r="P349" s="7" t="n">
        <v>9000</v>
      </c>
      <c r="Q349" s="7" t="n">
        <v>9000</v>
      </c>
      <c r="R349" s="4" t="s">
        <v>65</v>
      </c>
      <c r="S349" s="7"/>
      <c r="T349" s="7"/>
      <c r="U349" s="7"/>
      <c r="V349" s="7"/>
      <c r="W349" s="10" t="s">
        <v>31</v>
      </c>
      <c r="X349" s="10" t="s">
        <v>31</v>
      </c>
    </row>
    <row r="350" customFormat="false" ht="15" hidden="false" customHeight="true" outlineLevel="0" collapsed="false">
      <c r="A350" s="3" t="s">
        <v>1242</v>
      </c>
      <c r="B350" s="3" t="s">
        <v>1243</v>
      </c>
      <c r="C350" s="3" t="s">
        <v>1244</v>
      </c>
      <c r="D350" s="4"/>
      <c r="E350" s="4" t="s">
        <v>608</v>
      </c>
      <c r="F350" s="4" t="s">
        <v>293</v>
      </c>
      <c r="G350" s="5"/>
      <c r="H350" s="6"/>
      <c r="I350" s="6"/>
      <c r="J350" s="4" t="n">
        <v>0</v>
      </c>
      <c r="K350" s="7" t="n">
        <v>9800</v>
      </c>
      <c r="L350" s="8" t="n">
        <v>0</v>
      </c>
      <c r="M350" s="7" t="n">
        <v>9800</v>
      </c>
      <c r="N350" s="7"/>
      <c r="O350" s="9" t="str">
        <f aca="false">IF(AND(N(G350)&gt;0,N(M350)&gt;0),G350/M350,"")</f>
        <v/>
      </c>
      <c r="P350" s="7" t="n">
        <v>9800</v>
      </c>
      <c r="Q350" s="7" t="n">
        <v>9800</v>
      </c>
      <c r="R350" s="4" t="s">
        <v>65</v>
      </c>
      <c r="S350" s="7"/>
      <c r="T350" s="7"/>
      <c r="U350" s="7"/>
      <c r="V350" s="7"/>
      <c r="W350" s="10" t="s">
        <v>31</v>
      </c>
      <c r="X350" s="10" t="s">
        <v>31</v>
      </c>
    </row>
    <row r="351" customFormat="false" ht="15" hidden="false" customHeight="true" outlineLevel="0" collapsed="false">
      <c r="A351" s="3" t="s">
        <v>1245</v>
      </c>
      <c r="B351" s="3" t="s">
        <v>1246</v>
      </c>
      <c r="C351" s="3" t="s">
        <v>1247</v>
      </c>
      <c r="D351" s="4"/>
      <c r="E351" s="4" t="s">
        <v>608</v>
      </c>
      <c r="F351" s="4" t="s">
        <v>293</v>
      </c>
      <c r="G351" s="5"/>
      <c r="H351" s="6"/>
      <c r="I351" s="6"/>
      <c r="J351" s="4" t="n">
        <v>0</v>
      </c>
      <c r="K351" s="7" t="n">
        <v>10700</v>
      </c>
      <c r="L351" s="8" t="n">
        <v>0</v>
      </c>
      <c r="M351" s="7" t="n">
        <v>10700</v>
      </c>
      <c r="N351" s="7"/>
      <c r="O351" s="9" t="str">
        <f aca="false">IF(AND(N(G351)&gt;0,N(M351)&gt;0),G351/M351,"")</f>
        <v/>
      </c>
      <c r="P351" s="7" t="n">
        <v>10700</v>
      </c>
      <c r="Q351" s="7" t="n">
        <v>10700</v>
      </c>
      <c r="R351" s="4" t="s">
        <v>65</v>
      </c>
      <c r="S351" s="7"/>
      <c r="T351" s="7"/>
      <c r="U351" s="7"/>
      <c r="V351" s="7"/>
      <c r="W351" s="10" t="s">
        <v>31</v>
      </c>
      <c r="X351" s="10" t="s">
        <v>31</v>
      </c>
    </row>
    <row r="352" customFormat="false" ht="15" hidden="false" customHeight="true" outlineLevel="0" collapsed="false">
      <c r="A352" s="3" t="s">
        <v>1248</v>
      </c>
      <c r="B352" s="3" t="s">
        <v>1249</v>
      </c>
      <c r="C352" s="3" t="s">
        <v>1250</v>
      </c>
      <c r="D352" s="4"/>
      <c r="E352" s="4" t="s">
        <v>1251</v>
      </c>
      <c r="F352" s="4" t="s">
        <v>293</v>
      </c>
      <c r="G352" s="5"/>
      <c r="H352" s="6"/>
      <c r="I352" s="6"/>
      <c r="J352" s="4" t="n">
        <v>0</v>
      </c>
      <c r="K352" s="7" t="n">
        <v>20800</v>
      </c>
      <c r="L352" s="8" t="n">
        <v>0</v>
      </c>
      <c r="M352" s="7" t="n">
        <v>20800</v>
      </c>
      <c r="N352" s="7"/>
      <c r="O352" s="9" t="str">
        <f aca="false">IF(AND(N(G352)&gt;0,N(M352)&gt;0),G352/M352,"")</f>
        <v/>
      </c>
      <c r="P352" s="7" t="n">
        <v>20800</v>
      </c>
      <c r="Q352" s="7" t="n">
        <v>20800</v>
      </c>
      <c r="R352" s="4" t="s">
        <v>65</v>
      </c>
      <c r="S352" s="7"/>
      <c r="T352" s="7"/>
      <c r="U352" s="7"/>
      <c r="V352" s="7"/>
      <c r="W352" s="10" t="s">
        <v>31</v>
      </c>
      <c r="X352" s="10" t="s">
        <v>31</v>
      </c>
    </row>
    <row r="353" customFormat="false" ht="15" hidden="false" customHeight="true" outlineLevel="0" collapsed="false">
      <c r="A353" s="3" t="s">
        <v>1252</v>
      </c>
      <c r="B353" s="3" t="s">
        <v>1253</v>
      </c>
      <c r="C353" s="3" t="s">
        <v>1254</v>
      </c>
      <c r="D353" s="4"/>
      <c r="E353" s="4" t="s">
        <v>1255</v>
      </c>
      <c r="F353" s="4" t="s">
        <v>293</v>
      </c>
      <c r="G353" s="5"/>
      <c r="H353" s="6"/>
      <c r="I353" s="6"/>
      <c r="J353" s="4" t="n">
        <v>0</v>
      </c>
      <c r="K353" s="7" t="n">
        <v>9400</v>
      </c>
      <c r="L353" s="8" t="n">
        <v>0</v>
      </c>
      <c r="M353" s="7" t="n">
        <v>9400</v>
      </c>
      <c r="N353" s="7"/>
      <c r="O353" s="9" t="str">
        <f aca="false">IF(AND(N(G353)&gt;0,N(M353)&gt;0),G353/M353,"")</f>
        <v/>
      </c>
      <c r="P353" s="7" t="n">
        <v>9400</v>
      </c>
      <c r="Q353" s="7" t="n">
        <v>9400</v>
      </c>
      <c r="R353" s="4" t="s">
        <v>65</v>
      </c>
      <c r="S353" s="7"/>
      <c r="T353" s="7"/>
      <c r="U353" s="7"/>
      <c r="V353" s="7"/>
      <c r="W353" s="10" t="s">
        <v>31</v>
      </c>
      <c r="X353" s="10" t="s">
        <v>31</v>
      </c>
    </row>
    <row r="354" customFormat="false" ht="15" hidden="false" customHeight="true" outlineLevel="0" collapsed="false">
      <c r="A354" s="3" t="s">
        <v>1256</v>
      </c>
      <c r="B354" s="3" t="s">
        <v>1257</v>
      </c>
      <c r="C354" s="3" t="s">
        <v>1258</v>
      </c>
      <c r="D354" s="4"/>
      <c r="E354" s="4" t="s">
        <v>1255</v>
      </c>
      <c r="F354" s="4" t="s">
        <v>293</v>
      </c>
      <c r="G354" s="5"/>
      <c r="H354" s="6"/>
      <c r="I354" s="6"/>
      <c r="J354" s="4" t="n">
        <v>0</v>
      </c>
      <c r="K354" s="7" t="n">
        <v>10300</v>
      </c>
      <c r="L354" s="8" t="n">
        <v>0</v>
      </c>
      <c r="M354" s="7" t="n">
        <v>10300</v>
      </c>
      <c r="N354" s="7"/>
      <c r="O354" s="9" t="str">
        <f aca="false">IF(AND(N(G354)&gt;0,N(M354)&gt;0),G354/M354,"")</f>
        <v/>
      </c>
      <c r="P354" s="7" t="n">
        <v>10300</v>
      </c>
      <c r="Q354" s="7" t="n">
        <v>10300</v>
      </c>
      <c r="R354" s="4" t="s">
        <v>65</v>
      </c>
      <c r="S354" s="7"/>
      <c r="T354" s="7"/>
      <c r="U354" s="7"/>
      <c r="V354" s="7"/>
      <c r="W354" s="10" t="s">
        <v>31</v>
      </c>
      <c r="X354" s="10" t="s">
        <v>31</v>
      </c>
    </row>
    <row r="355" customFormat="false" ht="15" hidden="false" customHeight="true" outlineLevel="0" collapsed="false">
      <c r="A355" s="3" t="s">
        <v>1259</v>
      </c>
      <c r="B355" s="3" t="s">
        <v>1260</v>
      </c>
      <c r="C355" s="3" t="s">
        <v>1261</v>
      </c>
      <c r="D355" s="4"/>
      <c r="E355" s="4" t="s">
        <v>1255</v>
      </c>
      <c r="F355" s="4" t="s">
        <v>293</v>
      </c>
      <c r="G355" s="5"/>
      <c r="H355" s="6"/>
      <c r="I355" s="6"/>
      <c r="J355" s="4" t="n">
        <v>0</v>
      </c>
      <c r="K355" s="7" t="n">
        <v>9550</v>
      </c>
      <c r="L355" s="8" t="n">
        <v>0</v>
      </c>
      <c r="M355" s="7" t="n">
        <v>9550</v>
      </c>
      <c r="N355" s="7"/>
      <c r="O355" s="9" t="str">
        <f aca="false">IF(AND(N(G355)&gt;0,N(M355)&gt;0),G355/M355,"")</f>
        <v/>
      </c>
      <c r="P355" s="7" t="n">
        <v>9550</v>
      </c>
      <c r="Q355" s="7" t="n">
        <v>9550</v>
      </c>
      <c r="R355" s="4" t="s">
        <v>65</v>
      </c>
      <c r="S355" s="7"/>
      <c r="T355" s="7"/>
      <c r="U355" s="7"/>
      <c r="V355" s="7"/>
      <c r="W355" s="10" t="s">
        <v>31</v>
      </c>
      <c r="X355" s="10" t="s">
        <v>31</v>
      </c>
    </row>
    <row r="356" customFormat="false" ht="15" hidden="false" customHeight="true" outlineLevel="0" collapsed="false">
      <c r="A356" s="3" t="s">
        <v>1262</v>
      </c>
      <c r="B356" s="3" t="s">
        <v>1263</v>
      </c>
      <c r="C356" s="3" t="s">
        <v>1264</v>
      </c>
      <c r="D356" s="4"/>
      <c r="E356" s="4" t="s">
        <v>1265</v>
      </c>
      <c r="F356" s="4" t="s">
        <v>293</v>
      </c>
      <c r="G356" s="5"/>
      <c r="H356" s="6"/>
      <c r="I356" s="6"/>
      <c r="J356" s="4" t="n">
        <v>0</v>
      </c>
      <c r="K356" s="7" t="n">
        <v>2650</v>
      </c>
      <c r="L356" s="8" t="n">
        <v>0</v>
      </c>
      <c r="M356" s="7" t="n">
        <v>2650</v>
      </c>
      <c r="N356" s="7"/>
      <c r="O356" s="9" t="str">
        <f aca="false">IF(AND(N(G356)&gt;0,N(M356)&gt;0),G356/M356,"")</f>
        <v/>
      </c>
      <c r="P356" s="7" t="n">
        <v>2650</v>
      </c>
      <c r="Q356" s="7" t="n">
        <v>2650</v>
      </c>
      <c r="R356" s="4" t="s">
        <v>65</v>
      </c>
      <c r="S356" s="7"/>
      <c r="T356" s="7"/>
      <c r="U356" s="7"/>
      <c r="V356" s="7"/>
      <c r="W356" s="10" t="s">
        <v>31</v>
      </c>
      <c r="X356" s="10" t="s">
        <v>31</v>
      </c>
    </row>
    <row r="357" customFormat="false" ht="15" hidden="false" customHeight="true" outlineLevel="0" collapsed="false">
      <c r="A357" s="3" t="s">
        <v>1266</v>
      </c>
      <c r="B357" s="3" t="s">
        <v>1267</v>
      </c>
      <c r="C357" s="3" t="s">
        <v>1268</v>
      </c>
      <c r="D357" s="4"/>
      <c r="E357" s="4" t="s">
        <v>1265</v>
      </c>
      <c r="F357" s="4" t="s">
        <v>293</v>
      </c>
      <c r="G357" s="5"/>
      <c r="H357" s="6"/>
      <c r="I357" s="6"/>
      <c r="J357" s="4" t="n">
        <v>0</v>
      </c>
      <c r="K357" s="7" t="n">
        <v>4400</v>
      </c>
      <c r="L357" s="8" t="n">
        <v>0</v>
      </c>
      <c r="M357" s="7" t="n">
        <v>4400</v>
      </c>
      <c r="N357" s="7"/>
      <c r="O357" s="9" t="str">
        <f aca="false">IF(AND(N(G357)&gt;0,N(M357)&gt;0),G357/M357,"")</f>
        <v/>
      </c>
      <c r="P357" s="7" t="n">
        <v>4400</v>
      </c>
      <c r="Q357" s="7" t="n">
        <v>4400</v>
      </c>
      <c r="R357" s="4" t="s">
        <v>65</v>
      </c>
      <c r="S357" s="7"/>
      <c r="T357" s="7"/>
      <c r="U357" s="7"/>
      <c r="V357" s="7"/>
      <c r="W357" s="10" t="s">
        <v>31</v>
      </c>
      <c r="X357" s="10" t="s">
        <v>31</v>
      </c>
    </row>
    <row r="358" customFormat="false" ht="15" hidden="false" customHeight="true" outlineLevel="0" collapsed="false">
      <c r="A358" s="3" t="s">
        <v>1269</v>
      </c>
      <c r="B358" s="3" t="s">
        <v>1270</v>
      </c>
      <c r="C358" s="3" t="s">
        <v>1271</v>
      </c>
      <c r="D358" s="4"/>
      <c r="E358" s="4" t="s">
        <v>1265</v>
      </c>
      <c r="F358" s="4" t="s">
        <v>293</v>
      </c>
      <c r="G358" s="5"/>
      <c r="H358" s="6"/>
      <c r="I358" s="6"/>
      <c r="J358" s="4" t="n">
        <v>0</v>
      </c>
      <c r="K358" s="7" t="n">
        <v>8500</v>
      </c>
      <c r="L358" s="8" t="n">
        <v>0</v>
      </c>
      <c r="M358" s="7" t="n">
        <v>8500</v>
      </c>
      <c r="N358" s="7"/>
      <c r="O358" s="9" t="str">
        <f aca="false">IF(AND(N(G358)&gt;0,N(M358)&gt;0),G358/M358,"")</f>
        <v/>
      </c>
      <c r="P358" s="7" t="n">
        <v>8500</v>
      </c>
      <c r="Q358" s="7" t="n">
        <v>8500</v>
      </c>
      <c r="R358" s="4" t="s">
        <v>65</v>
      </c>
      <c r="S358" s="7"/>
      <c r="T358" s="7"/>
      <c r="U358" s="7"/>
      <c r="V358" s="7"/>
      <c r="W358" s="10" t="s">
        <v>31</v>
      </c>
      <c r="X358" s="10" t="s">
        <v>31</v>
      </c>
    </row>
    <row r="359" customFormat="false" ht="15" hidden="false" customHeight="true" outlineLevel="0" collapsed="false">
      <c r="A359" s="3" t="s">
        <v>1272</v>
      </c>
      <c r="B359" s="3" t="s">
        <v>1273</v>
      </c>
      <c r="C359" s="3" t="s">
        <v>1274</v>
      </c>
      <c r="D359" s="4"/>
      <c r="E359" s="4" t="s">
        <v>1265</v>
      </c>
      <c r="F359" s="4" t="s">
        <v>293</v>
      </c>
      <c r="G359" s="5"/>
      <c r="H359" s="6"/>
      <c r="I359" s="6"/>
      <c r="J359" s="4" t="n">
        <v>0</v>
      </c>
      <c r="K359" s="7" t="n">
        <v>7400</v>
      </c>
      <c r="L359" s="8" t="n">
        <v>0</v>
      </c>
      <c r="M359" s="7" t="n">
        <v>7400</v>
      </c>
      <c r="N359" s="7"/>
      <c r="O359" s="9" t="str">
        <f aca="false">IF(AND(N(G359)&gt;0,N(M359)&gt;0),G359/M359,"")</f>
        <v/>
      </c>
      <c r="P359" s="7" t="n">
        <v>7400</v>
      </c>
      <c r="Q359" s="7" t="n">
        <v>7400</v>
      </c>
      <c r="R359" s="4" t="s">
        <v>65</v>
      </c>
      <c r="S359" s="7"/>
      <c r="T359" s="7"/>
      <c r="U359" s="7"/>
      <c r="V359" s="7"/>
      <c r="W359" s="10" t="s">
        <v>31</v>
      </c>
      <c r="X359" s="10" t="s">
        <v>31</v>
      </c>
    </row>
    <row r="360" customFormat="false" ht="15" hidden="false" customHeight="true" outlineLevel="0" collapsed="false">
      <c r="A360" s="3" t="s">
        <v>1275</v>
      </c>
      <c r="B360" s="3" t="s">
        <v>1276</v>
      </c>
      <c r="C360" s="3" t="s">
        <v>1277</v>
      </c>
      <c r="D360" s="4"/>
      <c r="E360" s="4" t="s">
        <v>1265</v>
      </c>
      <c r="F360" s="4" t="s">
        <v>293</v>
      </c>
      <c r="G360" s="5"/>
      <c r="H360" s="6"/>
      <c r="I360" s="6"/>
      <c r="J360" s="4" t="n">
        <v>0</v>
      </c>
      <c r="K360" s="7" t="n">
        <v>19090</v>
      </c>
      <c r="L360" s="8" t="n">
        <v>0</v>
      </c>
      <c r="M360" s="7" t="n">
        <v>19090</v>
      </c>
      <c r="N360" s="7"/>
      <c r="O360" s="9" t="str">
        <f aca="false">IF(AND(N(G360)&gt;0,N(M360)&gt;0),G360/M360,"")</f>
        <v/>
      </c>
      <c r="P360" s="7" t="n">
        <v>19090</v>
      </c>
      <c r="Q360" s="7" t="n">
        <v>19090</v>
      </c>
      <c r="R360" s="4" t="s">
        <v>65</v>
      </c>
      <c r="S360" s="7"/>
      <c r="T360" s="7"/>
      <c r="U360" s="7"/>
      <c r="V360" s="7"/>
      <c r="W360" s="10" t="s">
        <v>31</v>
      </c>
      <c r="X360" s="10" t="s">
        <v>31</v>
      </c>
    </row>
    <row r="361" customFormat="false" ht="15" hidden="false" customHeight="true" outlineLevel="0" collapsed="false">
      <c r="A361" s="3" t="s">
        <v>1278</v>
      </c>
      <c r="B361" s="3" t="s">
        <v>1279</v>
      </c>
      <c r="C361" s="3" t="s">
        <v>1280</v>
      </c>
      <c r="D361" s="4"/>
      <c r="E361" s="4" t="s">
        <v>1265</v>
      </c>
      <c r="F361" s="4" t="s">
        <v>293</v>
      </c>
      <c r="G361" s="5"/>
      <c r="H361" s="6"/>
      <c r="I361" s="6"/>
      <c r="J361" s="4" t="n">
        <v>0</v>
      </c>
      <c r="K361" s="7" t="n">
        <v>10300</v>
      </c>
      <c r="L361" s="8" t="n">
        <v>0</v>
      </c>
      <c r="M361" s="7" t="n">
        <v>10300</v>
      </c>
      <c r="N361" s="7"/>
      <c r="O361" s="9" t="str">
        <f aca="false">IF(AND(N(G361)&gt;0,N(M361)&gt;0),G361/M361,"")</f>
        <v/>
      </c>
      <c r="P361" s="7" t="n">
        <v>10300</v>
      </c>
      <c r="Q361" s="7" t="n">
        <v>10300</v>
      </c>
      <c r="R361" s="4" t="s">
        <v>65</v>
      </c>
      <c r="S361" s="7"/>
      <c r="T361" s="7"/>
      <c r="U361" s="7"/>
      <c r="V361" s="7"/>
      <c r="W361" s="10" t="s">
        <v>31</v>
      </c>
      <c r="X361" s="10" t="s">
        <v>31</v>
      </c>
    </row>
    <row r="362" customFormat="false" ht="15" hidden="false" customHeight="true" outlineLevel="0" collapsed="false">
      <c r="A362" s="3" t="s">
        <v>1281</v>
      </c>
      <c r="B362" s="3" t="s">
        <v>1282</v>
      </c>
      <c r="C362" s="3" t="s">
        <v>1283</v>
      </c>
      <c r="D362" s="4"/>
      <c r="E362" s="4" t="s">
        <v>1265</v>
      </c>
      <c r="F362" s="4" t="s">
        <v>293</v>
      </c>
      <c r="G362" s="5"/>
      <c r="H362" s="6"/>
      <c r="I362" s="6"/>
      <c r="J362" s="4" t="n">
        <v>0</v>
      </c>
      <c r="K362" s="7" t="n">
        <v>5850</v>
      </c>
      <c r="L362" s="8" t="n">
        <v>0</v>
      </c>
      <c r="M362" s="7" t="n">
        <v>5850</v>
      </c>
      <c r="N362" s="7"/>
      <c r="O362" s="9" t="str">
        <f aca="false">IF(AND(N(G362)&gt;0,N(M362)&gt;0),G362/M362,"")</f>
        <v/>
      </c>
      <c r="P362" s="7" t="n">
        <v>5850</v>
      </c>
      <c r="Q362" s="7" t="n">
        <v>5850</v>
      </c>
      <c r="R362" s="4" t="s">
        <v>65</v>
      </c>
      <c r="S362" s="7"/>
      <c r="T362" s="7"/>
      <c r="U362" s="7"/>
      <c r="V362" s="7"/>
      <c r="W362" s="10" t="s">
        <v>31</v>
      </c>
      <c r="X362" s="10" t="s">
        <v>31</v>
      </c>
    </row>
    <row r="363" customFormat="false" ht="15" hidden="false" customHeight="true" outlineLevel="0" collapsed="false">
      <c r="A363" s="3" t="s">
        <v>1284</v>
      </c>
      <c r="B363" s="3" t="s">
        <v>1285</v>
      </c>
      <c r="C363" s="3" t="s">
        <v>1286</v>
      </c>
      <c r="D363" s="4"/>
      <c r="E363" s="4" t="s">
        <v>1265</v>
      </c>
      <c r="F363" s="4" t="s">
        <v>293</v>
      </c>
      <c r="G363" s="5"/>
      <c r="H363" s="6"/>
      <c r="I363" s="6"/>
      <c r="J363" s="4" t="n">
        <v>0</v>
      </c>
      <c r="K363" s="7" t="n">
        <v>5850</v>
      </c>
      <c r="L363" s="8" t="n">
        <v>0</v>
      </c>
      <c r="M363" s="7" t="n">
        <v>5850</v>
      </c>
      <c r="N363" s="7"/>
      <c r="O363" s="9" t="str">
        <f aca="false">IF(AND(N(G363)&gt;0,N(M363)&gt;0),G363/M363,"")</f>
        <v/>
      </c>
      <c r="P363" s="7" t="n">
        <v>5850</v>
      </c>
      <c r="Q363" s="7" t="n">
        <v>5850</v>
      </c>
      <c r="R363" s="4" t="s">
        <v>65</v>
      </c>
      <c r="S363" s="7"/>
      <c r="T363" s="7"/>
      <c r="U363" s="7"/>
      <c r="V363" s="7"/>
      <c r="W363" s="10" t="s">
        <v>31</v>
      </c>
      <c r="X363" s="10" t="s">
        <v>31</v>
      </c>
    </row>
    <row r="364" customFormat="false" ht="15" hidden="false" customHeight="true" outlineLevel="0" collapsed="false">
      <c r="A364" s="3" t="s">
        <v>1287</v>
      </c>
      <c r="B364" s="3" t="s">
        <v>1288</v>
      </c>
      <c r="C364" s="3" t="s">
        <v>1289</v>
      </c>
      <c r="D364" s="4"/>
      <c r="E364" s="4" t="s">
        <v>1265</v>
      </c>
      <c r="F364" s="4" t="s">
        <v>293</v>
      </c>
      <c r="G364" s="5"/>
      <c r="H364" s="6"/>
      <c r="I364" s="6"/>
      <c r="J364" s="4" t="n">
        <v>0</v>
      </c>
      <c r="K364" s="7" t="n">
        <v>14000</v>
      </c>
      <c r="L364" s="8" t="n">
        <v>0</v>
      </c>
      <c r="M364" s="7" t="n">
        <v>14000</v>
      </c>
      <c r="N364" s="7"/>
      <c r="O364" s="9" t="str">
        <f aca="false">IF(AND(N(G364)&gt;0,N(M364)&gt;0),G364/M364,"")</f>
        <v/>
      </c>
      <c r="P364" s="7" t="n">
        <v>14000</v>
      </c>
      <c r="Q364" s="7" t="n">
        <v>14000</v>
      </c>
      <c r="R364" s="4" t="s">
        <v>65</v>
      </c>
      <c r="S364" s="7"/>
      <c r="T364" s="7"/>
      <c r="U364" s="7"/>
      <c r="V364" s="7"/>
      <c r="W364" s="10" t="s">
        <v>31</v>
      </c>
      <c r="X364" s="10" t="s">
        <v>31</v>
      </c>
    </row>
    <row r="365" customFormat="false" ht="15" hidden="false" customHeight="true" outlineLevel="0" collapsed="false">
      <c r="A365" s="3" t="s">
        <v>1290</v>
      </c>
      <c r="B365" s="3" t="s">
        <v>1291</v>
      </c>
      <c r="C365" s="3" t="s">
        <v>1292</v>
      </c>
      <c r="D365" s="4"/>
      <c r="E365" s="4" t="s">
        <v>1265</v>
      </c>
      <c r="F365" s="4" t="s">
        <v>293</v>
      </c>
      <c r="G365" s="5"/>
      <c r="H365" s="6"/>
      <c r="I365" s="6"/>
      <c r="J365" s="4" t="n">
        <v>0</v>
      </c>
      <c r="K365" s="7" t="n">
        <v>21500</v>
      </c>
      <c r="L365" s="8" t="n">
        <v>0</v>
      </c>
      <c r="M365" s="7" t="n">
        <v>21500</v>
      </c>
      <c r="N365" s="7"/>
      <c r="O365" s="9" t="str">
        <f aca="false">IF(AND(N(G365)&gt;0,N(M365)&gt;0),G365/M365,"")</f>
        <v/>
      </c>
      <c r="P365" s="7" t="n">
        <v>21500</v>
      </c>
      <c r="Q365" s="7" t="n">
        <v>21500</v>
      </c>
      <c r="R365" s="4" t="s">
        <v>65</v>
      </c>
      <c r="S365" s="7"/>
      <c r="T365" s="7"/>
      <c r="U365" s="7"/>
      <c r="V365" s="7"/>
      <c r="W365" s="10" t="s">
        <v>31</v>
      </c>
      <c r="X365" s="10" t="s">
        <v>31</v>
      </c>
    </row>
    <row r="366" customFormat="false" ht="15" hidden="false" customHeight="true" outlineLevel="0" collapsed="false">
      <c r="A366" s="3" t="s">
        <v>1293</v>
      </c>
      <c r="B366" s="3" t="s">
        <v>1294</v>
      </c>
      <c r="C366" s="3" t="s">
        <v>1295</v>
      </c>
      <c r="D366" s="4"/>
      <c r="E366" s="4" t="s">
        <v>1265</v>
      </c>
      <c r="F366" s="4" t="s">
        <v>293</v>
      </c>
      <c r="G366" s="11" t="n">
        <v>2900</v>
      </c>
      <c r="H366" s="12" t="s">
        <v>36</v>
      </c>
      <c r="I366" s="12" t="s">
        <v>37</v>
      </c>
      <c r="J366" s="4" t="n">
        <v>0</v>
      </c>
      <c r="K366" s="7" t="n">
        <v>20350</v>
      </c>
      <c r="L366" s="8" t="n">
        <v>0</v>
      </c>
      <c r="M366" s="7" t="n">
        <v>20350</v>
      </c>
      <c r="N366" s="7"/>
      <c r="O366" s="9" t="n">
        <f aca="false">IF(AND(N(G366)&gt;0,N(M366)&gt;0),G366/M366,"")</f>
        <v>0.142506142506143</v>
      </c>
      <c r="P366" s="7" t="n">
        <v>20350</v>
      </c>
      <c r="Q366" s="7" t="n">
        <v>20350</v>
      </c>
      <c r="R366" s="4" t="s">
        <v>65</v>
      </c>
      <c r="S366" s="7"/>
      <c r="T366" s="7"/>
      <c r="U366" s="7"/>
      <c r="V366" s="7"/>
      <c r="W366" s="10" t="s">
        <v>31</v>
      </c>
      <c r="X366" s="10" t="s">
        <v>31</v>
      </c>
    </row>
    <row r="367" customFormat="false" ht="15" hidden="false" customHeight="true" outlineLevel="0" collapsed="false">
      <c r="A367" s="3" t="s">
        <v>1296</v>
      </c>
      <c r="B367" s="3" t="s">
        <v>1297</v>
      </c>
      <c r="C367" s="3" t="s">
        <v>1298</v>
      </c>
      <c r="D367" s="4"/>
      <c r="E367" s="4" t="s">
        <v>1299</v>
      </c>
      <c r="F367" s="4" t="s">
        <v>293</v>
      </c>
      <c r="G367" s="5"/>
      <c r="H367" s="6"/>
      <c r="I367" s="6"/>
      <c r="J367" s="4" t="n">
        <v>0</v>
      </c>
      <c r="K367" s="7" t="n">
        <v>12300</v>
      </c>
      <c r="L367" s="8" t="n">
        <v>0</v>
      </c>
      <c r="M367" s="7" t="n">
        <v>12300</v>
      </c>
      <c r="N367" s="7"/>
      <c r="O367" s="9" t="str">
        <f aca="false">IF(AND(N(G367)&gt;0,N(M367)&gt;0),G367/M367,"")</f>
        <v/>
      </c>
      <c r="P367" s="7" t="n">
        <v>12300</v>
      </c>
      <c r="Q367" s="7" t="n">
        <v>12300</v>
      </c>
      <c r="R367" s="4" t="s">
        <v>65</v>
      </c>
      <c r="S367" s="7"/>
      <c r="T367" s="7"/>
      <c r="U367" s="7"/>
      <c r="V367" s="7"/>
      <c r="W367" s="10" t="s">
        <v>31</v>
      </c>
      <c r="X367" s="10" t="s">
        <v>31</v>
      </c>
    </row>
    <row r="368" customFormat="false" ht="15" hidden="false" customHeight="true" outlineLevel="0" collapsed="false">
      <c r="A368" s="3" t="s">
        <v>1300</v>
      </c>
      <c r="B368" s="3" t="s">
        <v>1301</v>
      </c>
      <c r="C368" s="3" t="s">
        <v>1302</v>
      </c>
      <c r="D368" s="4"/>
      <c r="E368" s="4" t="s">
        <v>1303</v>
      </c>
      <c r="F368" s="4" t="s">
        <v>293</v>
      </c>
      <c r="G368" s="5"/>
      <c r="H368" s="6"/>
      <c r="I368" s="6"/>
      <c r="J368" s="4" t="n">
        <v>0</v>
      </c>
      <c r="K368" s="7" t="n">
        <v>21200</v>
      </c>
      <c r="L368" s="8" t="n">
        <v>0</v>
      </c>
      <c r="M368" s="7" t="n">
        <v>21200</v>
      </c>
      <c r="N368" s="7"/>
      <c r="O368" s="9" t="str">
        <f aca="false">IF(AND(N(G368)&gt;0,N(M368)&gt;0),G368/M368,"")</f>
        <v/>
      </c>
      <c r="P368" s="7" t="n">
        <v>21200</v>
      </c>
      <c r="Q368" s="7" t="n">
        <v>21200</v>
      </c>
      <c r="R368" s="4" t="s">
        <v>65</v>
      </c>
      <c r="S368" s="7"/>
      <c r="T368" s="7"/>
      <c r="U368" s="7"/>
      <c r="V368" s="7"/>
      <c r="W368" s="10" t="s">
        <v>31</v>
      </c>
      <c r="X368" s="10" t="s">
        <v>31</v>
      </c>
    </row>
    <row r="369" customFormat="false" ht="15" hidden="false" customHeight="true" outlineLevel="0" collapsed="false">
      <c r="A369" s="3" t="s">
        <v>1304</v>
      </c>
      <c r="B369" s="3" t="s">
        <v>1305</v>
      </c>
      <c r="C369" s="3" t="s">
        <v>1306</v>
      </c>
      <c r="D369" s="4"/>
      <c r="E369" s="4" t="s">
        <v>1307</v>
      </c>
      <c r="F369" s="4" t="s">
        <v>293</v>
      </c>
      <c r="G369" s="5"/>
      <c r="H369" s="6"/>
      <c r="I369" s="6"/>
      <c r="J369" s="4" t="n">
        <v>0</v>
      </c>
      <c r="K369" s="7" t="n">
        <v>24500</v>
      </c>
      <c r="L369" s="8" t="n">
        <v>0</v>
      </c>
      <c r="M369" s="7" t="n">
        <v>24500</v>
      </c>
      <c r="N369" s="7"/>
      <c r="O369" s="9" t="str">
        <f aca="false">IF(AND(N(G369)&gt;0,N(M369)&gt;0),G369/M369,"")</f>
        <v/>
      </c>
      <c r="P369" s="7" t="n">
        <v>24500</v>
      </c>
      <c r="Q369" s="7" t="n">
        <v>24500</v>
      </c>
      <c r="R369" s="4" t="s">
        <v>65</v>
      </c>
      <c r="S369" s="7"/>
      <c r="T369" s="7"/>
      <c r="U369" s="7"/>
      <c r="V369" s="7"/>
      <c r="W369" s="10" t="s">
        <v>31</v>
      </c>
      <c r="X369" s="10" t="s">
        <v>31</v>
      </c>
    </row>
    <row r="370" customFormat="false" ht="15" hidden="false" customHeight="true" outlineLevel="0" collapsed="false">
      <c r="A370" s="3" t="s">
        <v>1308</v>
      </c>
      <c r="B370" s="3" t="s">
        <v>1309</v>
      </c>
      <c r="C370" s="3" t="s">
        <v>1310</v>
      </c>
      <c r="D370" s="4"/>
      <c r="E370" s="4" t="s">
        <v>1307</v>
      </c>
      <c r="F370" s="4" t="s">
        <v>293</v>
      </c>
      <c r="G370" s="5"/>
      <c r="H370" s="6"/>
      <c r="I370" s="6"/>
      <c r="J370" s="4" t="n">
        <v>0</v>
      </c>
      <c r="K370" s="7" t="n">
        <v>15000</v>
      </c>
      <c r="L370" s="8" t="n">
        <v>0</v>
      </c>
      <c r="M370" s="7" t="n">
        <v>15000</v>
      </c>
      <c r="N370" s="7"/>
      <c r="O370" s="9" t="str">
        <f aca="false">IF(AND(N(G370)&gt;0,N(M370)&gt;0),G370/M370,"")</f>
        <v/>
      </c>
      <c r="P370" s="7" t="n">
        <v>15000</v>
      </c>
      <c r="Q370" s="7" t="n">
        <v>15000</v>
      </c>
      <c r="R370" s="4" t="s">
        <v>65</v>
      </c>
      <c r="S370" s="7"/>
      <c r="T370" s="7"/>
      <c r="U370" s="7"/>
      <c r="V370" s="7"/>
      <c r="W370" s="10" t="s">
        <v>31</v>
      </c>
      <c r="X370" s="10" t="s">
        <v>31</v>
      </c>
    </row>
    <row r="371" customFormat="false" ht="15" hidden="false" customHeight="true" outlineLevel="0" collapsed="false">
      <c r="A371" s="3" t="s">
        <v>1311</v>
      </c>
      <c r="B371" s="3" t="s">
        <v>1312</v>
      </c>
      <c r="C371" s="3" t="s">
        <v>1313</v>
      </c>
      <c r="D371" s="4"/>
      <c r="E371" s="4" t="s">
        <v>1314</v>
      </c>
      <c r="F371" s="4" t="s">
        <v>293</v>
      </c>
      <c r="G371" s="5"/>
      <c r="H371" s="6"/>
      <c r="I371" s="6"/>
      <c r="J371" s="4" t="n">
        <v>0</v>
      </c>
      <c r="K371" s="7" t="n">
        <v>15300</v>
      </c>
      <c r="L371" s="8" t="n">
        <v>0</v>
      </c>
      <c r="M371" s="7" t="n">
        <v>15300</v>
      </c>
      <c r="N371" s="7"/>
      <c r="O371" s="9" t="str">
        <f aca="false">IF(AND(N(G371)&gt;0,N(M371)&gt;0),G371/M371,"")</f>
        <v/>
      </c>
      <c r="P371" s="7" t="n">
        <v>15300</v>
      </c>
      <c r="Q371" s="7" t="n">
        <v>15300</v>
      </c>
      <c r="R371" s="4" t="s">
        <v>65</v>
      </c>
      <c r="S371" s="7"/>
      <c r="T371" s="7"/>
      <c r="U371" s="7"/>
      <c r="V371" s="7"/>
      <c r="W371" s="10" t="s">
        <v>31</v>
      </c>
      <c r="X371" s="10" t="s">
        <v>31</v>
      </c>
    </row>
    <row r="372" customFormat="false" ht="15" hidden="false" customHeight="true" outlineLevel="0" collapsed="false">
      <c r="A372" s="3" t="s">
        <v>1315</v>
      </c>
      <c r="B372" s="3" t="s">
        <v>1316</v>
      </c>
      <c r="C372" s="3" t="s">
        <v>1317</v>
      </c>
      <c r="D372" s="4"/>
      <c r="E372" s="4" t="s">
        <v>1318</v>
      </c>
      <c r="F372" s="4" t="s">
        <v>293</v>
      </c>
      <c r="G372" s="5"/>
      <c r="H372" s="6"/>
      <c r="I372" s="6"/>
      <c r="J372" s="4" t="n">
        <v>0</v>
      </c>
      <c r="K372" s="7" t="n">
        <v>20890</v>
      </c>
      <c r="L372" s="8" t="n">
        <v>0</v>
      </c>
      <c r="M372" s="7" t="n">
        <v>20890</v>
      </c>
      <c r="N372" s="7"/>
      <c r="O372" s="9" t="str">
        <f aca="false">IF(AND(N(G372)&gt;0,N(M372)&gt;0),G372/M372,"")</f>
        <v/>
      </c>
      <c r="P372" s="7" t="n">
        <v>20890</v>
      </c>
      <c r="Q372" s="7" t="n">
        <v>20890</v>
      </c>
      <c r="R372" s="4" t="s">
        <v>65</v>
      </c>
      <c r="S372" s="7"/>
      <c r="T372" s="7"/>
      <c r="U372" s="7"/>
      <c r="V372" s="7"/>
      <c r="W372" s="10" t="s">
        <v>31</v>
      </c>
      <c r="X372" s="10" t="s">
        <v>31</v>
      </c>
    </row>
    <row r="373" customFormat="false" ht="15" hidden="false" customHeight="true" outlineLevel="0" collapsed="false">
      <c r="A373" s="3" t="s">
        <v>1319</v>
      </c>
      <c r="B373" s="3" t="s">
        <v>1320</v>
      </c>
      <c r="C373" s="3" t="s">
        <v>1321</v>
      </c>
      <c r="D373" s="4"/>
      <c r="E373" s="4" t="s">
        <v>645</v>
      </c>
      <c r="F373" s="4" t="s">
        <v>293</v>
      </c>
      <c r="G373" s="5"/>
      <c r="H373" s="6"/>
      <c r="I373" s="6"/>
      <c r="J373" s="4" t="n">
        <v>0</v>
      </c>
      <c r="K373" s="7" t="n">
        <v>5200</v>
      </c>
      <c r="L373" s="8" t="n">
        <v>0</v>
      </c>
      <c r="M373" s="7" t="n">
        <v>5200</v>
      </c>
      <c r="N373" s="7"/>
      <c r="O373" s="9" t="str">
        <f aca="false">IF(AND(N(G373)&gt;0,N(M373)&gt;0),G373/M373,"")</f>
        <v/>
      </c>
      <c r="P373" s="7" t="n">
        <v>5200</v>
      </c>
      <c r="Q373" s="7" t="n">
        <v>5200</v>
      </c>
      <c r="R373" s="4" t="s">
        <v>65</v>
      </c>
      <c r="S373" s="7"/>
      <c r="T373" s="7"/>
      <c r="U373" s="7"/>
      <c r="V373" s="7"/>
      <c r="W373" s="10" t="s">
        <v>31</v>
      </c>
      <c r="X373" s="10" t="s">
        <v>31</v>
      </c>
    </row>
    <row r="374" customFormat="false" ht="15" hidden="false" customHeight="true" outlineLevel="0" collapsed="false">
      <c r="A374" s="3" t="s">
        <v>1322</v>
      </c>
      <c r="B374" s="3" t="s">
        <v>1323</v>
      </c>
      <c r="C374" s="3" t="s">
        <v>1324</v>
      </c>
      <c r="D374" s="4"/>
      <c r="E374" s="4" t="s">
        <v>645</v>
      </c>
      <c r="F374" s="4" t="s">
        <v>293</v>
      </c>
      <c r="G374" s="11" t="n">
        <v>1860</v>
      </c>
      <c r="H374" s="12" t="s">
        <v>36</v>
      </c>
      <c r="I374" s="12" t="s">
        <v>37</v>
      </c>
      <c r="J374" s="4" t="n">
        <v>0</v>
      </c>
      <c r="K374" s="7" t="n">
        <v>28000</v>
      </c>
      <c r="L374" s="8" t="n">
        <v>0</v>
      </c>
      <c r="M374" s="7" t="n">
        <v>28000</v>
      </c>
      <c r="N374" s="7"/>
      <c r="O374" s="9" t="n">
        <f aca="false">IF(AND(N(G374)&gt;0,N(M374)&gt;0),G374/M374,"")</f>
        <v>0.0664285714285714</v>
      </c>
      <c r="P374" s="7" t="n">
        <v>28000</v>
      </c>
      <c r="Q374" s="7" t="n">
        <v>28000</v>
      </c>
      <c r="R374" s="4" t="s">
        <v>65</v>
      </c>
      <c r="S374" s="7"/>
      <c r="T374" s="7"/>
      <c r="U374" s="7"/>
      <c r="V374" s="7"/>
      <c r="W374" s="10" t="s">
        <v>31</v>
      </c>
      <c r="X374" s="10" t="s">
        <v>31</v>
      </c>
    </row>
    <row r="375" customFormat="false" ht="15" hidden="false" customHeight="true" outlineLevel="0" collapsed="false">
      <c r="A375" s="3" t="s">
        <v>1325</v>
      </c>
      <c r="B375" s="3" t="s">
        <v>1326</v>
      </c>
      <c r="C375" s="3" t="s">
        <v>1327</v>
      </c>
      <c r="D375" s="4"/>
      <c r="E375" s="4" t="s">
        <v>645</v>
      </c>
      <c r="F375" s="4" t="s">
        <v>293</v>
      </c>
      <c r="G375" s="5"/>
      <c r="H375" s="6"/>
      <c r="I375" s="6"/>
      <c r="J375" s="4" t="n">
        <v>0</v>
      </c>
      <c r="K375" s="7" t="n">
        <v>5200</v>
      </c>
      <c r="L375" s="8" t="n">
        <v>0</v>
      </c>
      <c r="M375" s="7" t="n">
        <v>5200</v>
      </c>
      <c r="N375" s="7"/>
      <c r="O375" s="9" t="str">
        <f aca="false">IF(AND(N(G375)&gt;0,N(M375)&gt;0),G375/M375,"")</f>
        <v/>
      </c>
      <c r="P375" s="7" t="n">
        <v>5200</v>
      </c>
      <c r="Q375" s="7" t="n">
        <v>5200</v>
      </c>
      <c r="R375" s="4" t="s">
        <v>65</v>
      </c>
      <c r="S375" s="7"/>
      <c r="T375" s="7"/>
      <c r="U375" s="7"/>
      <c r="V375" s="7"/>
      <c r="W375" s="10" t="s">
        <v>31</v>
      </c>
      <c r="X375" s="10" t="s">
        <v>31</v>
      </c>
    </row>
    <row r="376" customFormat="false" ht="15" hidden="false" customHeight="true" outlineLevel="0" collapsed="false">
      <c r="A376" s="3" t="s">
        <v>1328</v>
      </c>
      <c r="B376" s="3" t="s">
        <v>1329</v>
      </c>
      <c r="C376" s="3" t="s">
        <v>1330</v>
      </c>
      <c r="D376" s="4"/>
      <c r="E376" s="4" t="s">
        <v>645</v>
      </c>
      <c r="F376" s="4" t="s">
        <v>293</v>
      </c>
      <c r="G376" s="5"/>
      <c r="H376" s="6"/>
      <c r="I376" s="6"/>
      <c r="J376" s="4" t="n">
        <v>0</v>
      </c>
      <c r="K376" s="7" t="n">
        <v>18000</v>
      </c>
      <c r="L376" s="8" t="n">
        <v>0</v>
      </c>
      <c r="M376" s="7" t="n">
        <v>18000</v>
      </c>
      <c r="N376" s="7"/>
      <c r="O376" s="9" t="str">
        <f aca="false">IF(AND(N(G376)&gt;0,N(M376)&gt;0),G376/M376,"")</f>
        <v/>
      </c>
      <c r="P376" s="7" t="n">
        <v>18000</v>
      </c>
      <c r="Q376" s="7" t="n">
        <v>18000</v>
      </c>
      <c r="R376" s="4" t="s">
        <v>65</v>
      </c>
      <c r="S376" s="7"/>
      <c r="T376" s="7"/>
      <c r="U376" s="7"/>
      <c r="V376" s="7"/>
      <c r="W376" s="10" t="s">
        <v>31</v>
      </c>
      <c r="X376" s="10" t="s">
        <v>31</v>
      </c>
    </row>
    <row r="377" customFormat="false" ht="15" hidden="false" customHeight="true" outlineLevel="0" collapsed="false">
      <c r="A377" s="3" t="s">
        <v>1331</v>
      </c>
      <c r="B377" s="3" t="s">
        <v>1332</v>
      </c>
      <c r="C377" s="3" t="s">
        <v>1333</v>
      </c>
      <c r="D377" s="4"/>
      <c r="E377" s="4" t="s">
        <v>1334</v>
      </c>
      <c r="F377" s="4" t="s">
        <v>293</v>
      </c>
      <c r="G377" s="11" t="n">
        <v>1600</v>
      </c>
      <c r="H377" s="12" t="s">
        <v>36</v>
      </c>
      <c r="I377" s="12" t="s">
        <v>37</v>
      </c>
      <c r="J377" s="4" t="n">
        <v>0</v>
      </c>
      <c r="K377" s="7" t="n">
        <v>17800</v>
      </c>
      <c r="L377" s="8" t="n">
        <v>0</v>
      </c>
      <c r="M377" s="7" t="n">
        <v>17800</v>
      </c>
      <c r="N377" s="7"/>
      <c r="O377" s="9" t="n">
        <f aca="false">IF(AND(N(G377)&gt;0,N(M377)&gt;0),G377/M377,"")</f>
        <v>0.0898876404494382</v>
      </c>
      <c r="P377" s="7" t="n">
        <v>17800</v>
      </c>
      <c r="Q377" s="7" t="n">
        <v>17800</v>
      </c>
      <c r="R377" s="4" t="s">
        <v>65</v>
      </c>
      <c r="S377" s="7"/>
      <c r="T377" s="7"/>
      <c r="U377" s="7"/>
      <c r="V377" s="7"/>
      <c r="W377" s="10" t="s">
        <v>31</v>
      </c>
      <c r="X377" s="10" t="s">
        <v>31</v>
      </c>
    </row>
    <row r="378" customFormat="false" ht="15" hidden="false" customHeight="true" outlineLevel="0" collapsed="false">
      <c r="A378" s="3" t="s">
        <v>1335</v>
      </c>
      <c r="B378" s="3" t="s">
        <v>1336</v>
      </c>
      <c r="C378" s="3" t="s">
        <v>1337</v>
      </c>
      <c r="D378" s="4"/>
      <c r="E378" s="4" t="s">
        <v>655</v>
      </c>
      <c r="F378" s="4" t="s">
        <v>293</v>
      </c>
      <c r="G378" s="5"/>
      <c r="H378" s="6"/>
      <c r="I378" s="6"/>
      <c r="J378" s="4" t="n">
        <v>0</v>
      </c>
      <c r="K378" s="7" t="n">
        <v>32032</v>
      </c>
      <c r="L378" s="8" t="n">
        <v>0</v>
      </c>
      <c r="M378" s="7" t="n">
        <v>32032</v>
      </c>
      <c r="N378" s="7"/>
      <c r="O378" s="9" t="str">
        <f aca="false">IF(AND(N(G378)&gt;0,N(M378)&gt;0),G378/M378,"")</f>
        <v/>
      </c>
      <c r="P378" s="7" t="n">
        <v>32032</v>
      </c>
      <c r="Q378" s="7" t="n">
        <v>32032</v>
      </c>
      <c r="R378" s="4" t="s">
        <v>65</v>
      </c>
      <c r="S378" s="7"/>
      <c r="T378" s="7"/>
      <c r="U378" s="7"/>
      <c r="V378" s="7"/>
      <c r="W378" s="10" t="s">
        <v>31</v>
      </c>
      <c r="X378" s="10" t="s">
        <v>31</v>
      </c>
    </row>
    <row r="379" customFormat="false" ht="15" hidden="false" customHeight="true" outlineLevel="0" collapsed="false">
      <c r="A379" s="3" t="s">
        <v>1338</v>
      </c>
      <c r="B379" s="3" t="s">
        <v>1339</v>
      </c>
      <c r="C379" s="3" t="s">
        <v>1340</v>
      </c>
      <c r="D379" s="4"/>
      <c r="E379" s="4" t="s">
        <v>1341</v>
      </c>
      <c r="F379" s="4" t="s">
        <v>293</v>
      </c>
      <c r="G379" s="5"/>
      <c r="H379" s="6"/>
      <c r="I379" s="6"/>
      <c r="J379" s="4" t="n">
        <v>0</v>
      </c>
      <c r="K379" s="7" t="n">
        <v>10700</v>
      </c>
      <c r="L379" s="8" t="n">
        <v>0</v>
      </c>
      <c r="M379" s="7" t="n">
        <v>10700</v>
      </c>
      <c r="N379" s="7"/>
      <c r="O379" s="9" t="str">
        <f aca="false">IF(AND(N(G379)&gt;0,N(M379)&gt;0),G379/M379,"")</f>
        <v/>
      </c>
      <c r="P379" s="7" t="n">
        <v>10700</v>
      </c>
      <c r="Q379" s="7" t="n">
        <v>10700</v>
      </c>
      <c r="R379" s="4" t="s">
        <v>65</v>
      </c>
      <c r="S379" s="7"/>
      <c r="T379" s="7"/>
      <c r="U379" s="7"/>
      <c r="V379" s="7"/>
      <c r="W379" s="10" t="s">
        <v>31</v>
      </c>
      <c r="X379" s="10" t="s">
        <v>31</v>
      </c>
    </row>
    <row r="380" customFormat="false" ht="15" hidden="false" customHeight="true" outlineLevel="0" collapsed="false">
      <c r="A380" s="3" t="s">
        <v>1342</v>
      </c>
      <c r="B380" s="3" t="s">
        <v>1343</v>
      </c>
      <c r="C380" s="3" t="s">
        <v>1344</v>
      </c>
      <c r="D380" s="4"/>
      <c r="E380" s="4" t="s">
        <v>1345</v>
      </c>
      <c r="F380" s="4" t="s">
        <v>293</v>
      </c>
      <c r="G380" s="5"/>
      <c r="H380" s="6"/>
      <c r="I380" s="6"/>
      <c r="J380" s="4" t="n">
        <v>0</v>
      </c>
      <c r="K380" s="7" t="n">
        <v>12400</v>
      </c>
      <c r="L380" s="8" t="n">
        <v>0</v>
      </c>
      <c r="M380" s="7" t="n">
        <v>12400</v>
      </c>
      <c r="N380" s="7"/>
      <c r="O380" s="9" t="str">
        <f aca="false">IF(AND(N(G380)&gt;0,N(M380)&gt;0),G380/M380,"")</f>
        <v/>
      </c>
      <c r="P380" s="7" t="n">
        <v>12400</v>
      </c>
      <c r="Q380" s="7" t="n">
        <v>12400</v>
      </c>
      <c r="R380" s="4" t="s">
        <v>65</v>
      </c>
      <c r="S380" s="7"/>
      <c r="T380" s="7"/>
      <c r="U380" s="7"/>
      <c r="V380" s="7"/>
      <c r="W380" s="10" t="s">
        <v>31</v>
      </c>
      <c r="X380" s="10" t="s">
        <v>31</v>
      </c>
    </row>
    <row r="381" customFormat="false" ht="15" hidden="false" customHeight="true" outlineLevel="0" collapsed="false">
      <c r="A381" s="3" t="s">
        <v>1346</v>
      </c>
      <c r="B381" s="3" t="s">
        <v>1347</v>
      </c>
      <c r="C381" s="3" t="s">
        <v>1348</v>
      </c>
      <c r="D381" s="4"/>
      <c r="E381" s="4" t="s">
        <v>1349</v>
      </c>
      <c r="F381" s="4" t="s">
        <v>293</v>
      </c>
      <c r="G381" s="5"/>
      <c r="H381" s="6"/>
      <c r="I381" s="6"/>
      <c r="J381" s="4" t="n">
        <v>0</v>
      </c>
      <c r="K381" s="7" t="n">
        <v>22800</v>
      </c>
      <c r="L381" s="8" t="n">
        <v>0</v>
      </c>
      <c r="M381" s="7" t="n">
        <v>22800</v>
      </c>
      <c r="N381" s="7"/>
      <c r="O381" s="9" t="str">
        <f aca="false">IF(AND(N(G381)&gt;0,N(M381)&gt;0),G381/M381,"")</f>
        <v/>
      </c>
      <c r="P381" s="7" t="n">
        <v>22800</v>
      </c>
      <c r="Q381" s="7" t="n">
        <v>22800</v>
      </c>
      <c r="R381" s="4" t="s">
        <v>65</v>
      </c>
      <c r="S381" s="7"/>
      <c r="T381" s="7"/>
      <c r="U381" s="7"/>
      <c r="V381" s="7"/>
      <c r="W381" s="10" t="s">
        <v>31</v>
      </c>
      <c r="X381" s="10" t="s">
        <v>31</v>
      </c>
    </row>
    <row r="382" customFormat="false" ht="15" hidden="false" customHeight="true" outlineLevel="0" collapsed="false">
      <c r="A382" s="3" t="s">
        <v>1350</v>
      </c>
      <c r="B382" s="3" t="s">
        <v>1351</v>
      </c>
      <c r="C382" s="3" t="s">
        <v>1352</v>
      </c>
      <c r="D382" s="4"/>
      <c r="E382" s="4" t="s">
        <v>1353</v>
      </c>
      <c r="F382" s="4" t="s">
        <v>293</v>
      </c>
      <c r="G382" s="5"/>
      <c r="H382" s="6"/>
      <c r="I382" s="6"/>
      <c r="J382" s="4" t="n">
        <v>0</v>
      </c>
      <c r="K382" s="7" t="n">
        <v>4284</v>
      </c>
      <c r="L382" s="8" t="n">
        <v>0</v>
      </c>
      <c r="M382" s="7" t="n">
        <v>4284</v>
      </c>
      <c r="N382" s="7"/>
      <c r="O382" s="9" t="str">
        <f aca="false">IF(AND(N(G382)&gt;0,N(M382)&gt;0),G382/M382,"")</f>
        <v/>
      </c>
      <c r="P382" s="7" t="n">
        <v>4284</v>
      </c>
      <c r="Q382" s="7" t="n">
        <v>4284</v>
      </c>
      <c r="R382" s="4" t="s">
        <v>65</v>
      </c>
      <c r="S382" s="7"/>
      <c r="T382" s="7"/>
      <c r="U382" s="7"/>
      <c r="V382" s="7"/>
      <c r="W382" s="10" t="s">
        <v>31</v>
      </c>
      <c r="X382" s="10" t="s">
        <v>31</v>
      </c>
    </row>
    <row r="383" customFormat="false" ht="15" hidden="false" customHeight="true" outlineLevel="0" collapsed="false">
      <c r="A383" s="3" t="s">
        <v>1354</v>
      </c>
      <c r="B383" s="3" t="s">
        <v>1355</v>
      </c>
      <c r="C383" s="3" t="s">
        <v>1356</v>
      </c>
      <c r="D383" s="4"/>
      <c r="E383" s="4" t="s">
        <v>1357</v>
      </c>
      <c r="F383" s="4" t="s">
        <v>293</v>
      </c>
      <c r="G383" s="5"/>
      <c r="H383" s="6"/>
      <c r="I383" s="6"/>
      <c r="J383" s="4" t="n">
        <v>0</v>
      </c>
      <c r="K383" s="7" t="n">
        <v>4500</v>
      </c>
      <c r="L383" s="8" t="n">
        <v>0</v>
      </c>
      <c r="M383" s="7" t="n">
        <v>4500</v>
      </c>
      <c r="N383" s="7"/>
      <c r="O383" s="9" t="str">
        <f aca="false">IF(AND(N(G383)&gt;0,N(M383)&gt;0),G383/M383,"")</f>
        <v/>
      </c>
      <c r="P383" s="7" t="n">
        <v>4500</v>
      </c>
      <c r="Q383" s="7" t="n">
        <v>4500</v>
      </c>
      <c r="R383" s="4" t="s">
        <v>65</v>
      </c>
      <c r="S383" s="7"/>
      <c r="T383" s="7"/>
      <c r="U383" s="7"/>
      <c r="V383" s="7"/>
      <c r="W383" s="10" t="s">
        <v>31</v>
      </c>
      <c r="X383" s="10" t="s">
        <v>31</v>
      </c>
    </row>
    <row r="384" customFormat="false" ht="15" hidden="false" customHeight="true" outlineLevel="0" collapsed="false">
      <c r="A384" s="3" t="s">
        <v>1358</v>
      </c>
      <c r="B384" s="3" t="s">
        <v>1359</v>
      </c>
      <c r="C384" s="3" t="s">
        <v>1360</v>
      </c>
      <c r="D384" s="4"/>
      <c r="E384" s="4" t="s">
        <v>1357</v>
      </c>
      <c r="F384" s="4" t="s">
        <v>293</v>
      </c>
      <c r="G384" s="5"/>
      <c r="H384" s="6"/>
      <c r="I384" s="6"/>
      <c r="J384" s="4" t="n">
        <v>0</v>
      </c>
      <c r="K384" s="7" t="n">
        <v>8850</v>
      </c>
      <c r="L384" s="8" t="n">
        <v>0</v>
      </c>
      <c r="M384" s="7" t="n">
        <v>8850</v>
      </c>
      <c r="N384" s="7"/>
      <c r="O384" s="9" t="str">
        <f aca="false">IF(AND(N(G384)&gt;0,N(M384)&gt;0),G384/M384,"")</f>
        <v/>
      </c>
      <c r="P384" s="7" t="n">
        <v>8850</v>
      </c>
      <c r="Q384" s="7" t="n">
        <v>8850</v>
      </c>
      <c r="R384" s="4" t="s">
        <v>65</v>
      </c>
      <c r="S384" s="7"/>
      <c r="T384" s="7"/>
      <c r="U384" s="7"/>
      <c r="V384" s="7"/>
      <c r="W384" s="10" t="s">
        <v>31</v>
      </c>
      <c r="X384" s="10" t="s">
        <v>31</v>
      </c>
    </row>
    <row r="385" customFormat="false" ht="15" hidden="false" customHeight="true" outlineLevel="0" collapsed="false">
      <c r="A385" s="3" t="s">
        <v>1361</v>
      </c>
      <c r="B385" s="3" t="s">
        <v>1362</v>
      </c>
      <c r="C385" s="3" t="s">
        <v>1363</v>
      </c>
      <c r="D385" s="4"/>
      <c r="E385" s="4" t="s">
        <v>1357</v>
      </c>
      <c r="F385" s="4" t="s">
        <v>293</v>
      </c>
      <c r="G385" s="5"/>
      <c r="H385" s="6"/>
      <c r="I385" s="6"/>
      <c r="J385" s="4" t="n">
        <v>0</v>
      </c>
      <c r="K385" s="7" t="n">
        <v>9900</v>
      </c>
      <c r="L385" s="8" t="n">
        <v>0</v>
      </c>
      <c r="M385" s="7" t="n">
        <v>9900</v>
      </c>
      <c r="N385" s="7"/>
      <c r="O385" s="9" t="str">
        <f aca="false">IF(AND(N(G385)&gt;0,N(M385)&gt;0),G385/M385,"")</f>
        <v/>
      </c>
      <c r="P385" s="7" t="n">
        <v>9900</v>
      </c>
      <c r="Q385" s="7" t="n">
        <v>9900</v>
      </c>
      <c r="R385" s="4" t="s">
        <v>65</v>
      </c>
      <c r="S385" s="7"/>
      <c r="T385" s="7"/>
      <c r="U385" s="7"/>
      <c r="V385" s="7"/>
      <c r="W385" s="10" t="s">
        <v>31</v>
      </c>
      <c r="X385" s="10" t="s">
        <v>31</v>
      </c>
    </row>
    <row r="386" customFormat="false" ht="15" hidden="false" customHeight="true" outlineLevel="0" collapsed="false">
      <c r="A386" s="3" t="s">
        <v>1364</v>
      </c>
      <c r="B386" s="3" t="s">
        <v>1365</v>
      </c>
      <c r="C386" s="3" t="s">
        <v>1366</v>
      </c>
      <c r="D386" s="4"/>
      <c r="E386" s="4" t="s">
        <v>1357</v>
      </c>
      <c r="F386" s="4" t="s">
        <v>293</v>
      </c>
      <c r="G386" s="5"/>
      <c r="H386" s="6"/>
      <c r="I386" s="6"/>
      <c r="J386" s="4" t="n">
        <v>0</v>
      </c>
      <c r="K386" s="7" t="n">
        <v>8850</v>
      </c>
      <c r="L386" s="8" t="n">
        <v>0</v>
      </c>
      <c r="M386" s="7" t="n">
        <v>8850</v>
      </c>
      <c r="N386" s="7"/>
      <c r="O386" s="9" t="str">
        <f aca="false">IF(AND(N(G386)&gt;0,N(M386)&gt;0),G386/M386,"")</f>
        <v/>
      </c>
      <c r="P386" s="7" t="n">
        <v>8850</v>
      </c>
      <c r="Q386" s="7" t="n">
        <v>8850</v>
      </c>
      <c r="R386" s="4" t="s">
        <v>65</v>
      </c>
      <c r="S386" s="7"/>
      <c r="T386" s="7"/>
      <c r="U386" s="7"/>
      <c r="V386" s="7"/>
      <c r="W386" s="10" t="s">
        <v>31</v>
      </c>
      <c r="X386" s="10" t="s">
        <v>31</v>
      </c>
    </row>
    <row r="387" customFormat="false" ht="15" hidden="false" customHeight="true" outlineLevel="0" collapsed="false">
      <c r="A387" s="3" t="s">
        <v>1367</v>
      </c>
      <c r="B387" s="3" t="s">
        <v>1368</v>
      </c>
      <c r="C387" s="3" t="s">
        <v>1369</v>
      </c>
      <c r="D387" s="4"/>
      <c r="E387" s="4" t="s">
        <v>1357</v>
      </c>
      <c r="F387" s="4" t="s">
        <v>293</v>
      </c>
      <c r="G387" s="5"/>
      <c r="H387" s="6"/>
      <c r="I387" s="6"/>
      <c r="J387" s="4" t="n">
        <v>0</v>
      </c>
      <c r="K387" s="7" t="n">
        <v>4300</v>
      </c>
      <c r="L387" s="8" t="n">
        <v>0</v>
      </c>
      <c r="M387" s="7" t="n">
        <v>4300</v>
      </c>
      <c r="N387" s="7"/>
      <c r="O387" s="9" t="str">
        <f aca="false">IF(AND(N(G387)&gt;0,N(M387)&gt;0),G387/M387,"")</f>
        <v/>
      </c>
      <c r="P387" s="7" t="n">
        <v>4300</v>
      </c>
      <c r="Q387" s="7" t="n">
        <v>4300</v>
      </c>
      <c r="R387" s="4" t="s">
        <v>65</v>
      </c>
      <c r="S387" s="7"/>
      <c r="T387" s="7"/>
      <c r="U387" s="7"/>
      <c r="V387" s="7"/>
      <c r="W387" s="10" t="s">
        <v>31</v>
      </c>
      <c r="X387" s="10" t="s">
        <v>31</v>
      </c>
    </row>
    <row r="388" customFormat="false" ht="15" hidden="false" customHeight="true" outlineLevel="0" collapsed="false">
      <c r="A388" s="3" t="s">
        <v>1370</v>
      </c>
      <c r="B388" s="3" t="s">
        <v>1371</v>
      </c>
      <c r="C388" s="3" t="s">
        <v>1372</v>
      </c>
      <c r="D388" s="4"/>
      <c r="E388" s="4" t="s">
        <v>1373</v>
      </c>
      <c r="F388" s="4" t="s">
        <v>293</v>
      </c>
      <c r="G388" s="5"/>
      <c r="H388" s="6"/>
      <c r="I388" s="6"/>
      <c r="J388" s="4" t="n">
        <v>0</v>
      </c>
      <c r="K388" s="7" t="n">
        <v>4750</v>
      </c>
      <c r="L388" s="8" t="n">
        <v>0</v>
      </c>
      <c r="M388" s="7" t="n">
        <v>4750</v>
      </c>
      <c r="N388" s="7"/>
      <c r="O388" s="9" t="str">
        <f aca="false">IF(AND(N(G388)&gt;0,N(M388)&gt;0),G388/M388,"")</f>
        <v/>
      </c>
      <c r="P388" s="7" t="n">
        <v>4750</v>
      </c>
      <c r="Q388" s="7" t="n">
        <v>4750</v>
      </c>
      <c r="R388" s="4" t="s">
        <v>65</v>
      </c>
      <c r="S388" s="7"/>
      <c r="T388" s="7"/>
      <c r="U388" s="7"/>
      <c r="V388" s="7"/>
      <c r="W388" s="10" t="s">
        <v>31</v>
      </c>
      <c r="X388" s="10" t="s">
        <v>31</v>
      </c>
    </row>
    <row r="389" customFormat="false" ht="15" hidden="false" customHeight="true" outlineLevel="0" collapsed="false">
      <c r="A389" s="3" t="s">
        <v>1374</v>
      </c>
      <c r="B389" s="3" t="s">
        <v>1375</v>
      </c>
      <c r="C389" s="3" t="s">
        <v>1376</v>
      </c>
      <c r="D389" s="4"/>
      <c r="E389" s="4" t="s">
        <v>1377</v>
      </c>
      <c r="F389" s="4" t="s">
        <v>293</v>
      </c>
      <c r="G389" s="5"/>
      <c r="H389" s="6"/>
      <c r="I389" s="6"/>
      <c r="J389" s="4" t="n">
        <v>0</v>
      </c>
      <c r="K389" s="7" t="n">
        <v>9200</v>
      </c>
      <c r="L389" s="8" t="n">
        <v>0</v>
      </c>
      <c r="M389" s="7" t="n">
        <v>9200</v>
      </c>
      <c r="N389" s="7"/>
      <c r="O389" s="9" t="str">
        <f aca="false">IF(AND(N(G389)&gt;0,N(M389)&gt;0),G389/M389,"")</f>
        <v/>
      </c>
      <c r="P389" s="7" t="n">
        <v>9200</v>
      </c>
      <c r="Q389" s="7" t="n">
        <v>9200</v>
      </c>
      <c r="R389" s="4" t="s">
        <v>65</v>
      </c>
      <c r="S389" s="7"/>
      <c r="T389" s="7"/>
      <c r="U389" s="7"/>
      <c r="V389" s="7"/>
      <c r="W389" s="10" t="s">
        <v>31</v>
      </c>
      <c r="X389" s="10" t="s">
        <v>31</v>
      </c>
    </row>
    <row r="390" customFormat="false" ht="15" hidden="false" customHeight="true" outlineLevel="0" collapsed="false">
      <c r="A390" s="3" t="s">
        <v>1378</v>
      </c>
      <c r="B390" s="3" t="s">
        <v>1379</v>
      </c>
      <c r="C390" s="3" t="s">
        <v>1380</v>
      </c>
      <c r="D390" s="4"/>
      <c r="E390" s="4" t="s">
        <v>1381</v>
      </c>
      <c r="F390" s="4" t="s">
        <v>293</v>
      </c>
      <c r="G390" s="5"/>
      <c r="H390" s="6"/>
      <c r="I390" s="6"/>
      <c r="J390" s="4" t="n">
        <v>0</v>
      </c>
      <c r="K390" s="7" t="n">
        <v>9380</v>
      </c>
      <c r="L390" s="8" t="n">
        <v>0</v>
      </c>
      <c r="M390" s="7" t="n">
        <v>9380</v>
      </c>
      <c r="N390" s="7"/>
      <c r="O390" s="9" t="str">
        <f aca="false">IF(AND(N(G390)&gt;0,N(M390)&gt;0),G390/M390,"")</f>
        <v/>
      </c>
      <c r="P390" s="7" t="n">
        <v>9380</v>
      </c>
      <c r="Q390" s="7" t="n">
        <v>9380</v>
      </c>
      <c r="R390" s="4" t="s">
        <v>65</v>
      </c>
      <c r="S390" s="7"/>
      <c r="T390" s="7"/>
      <c r="U390" s="7"/>
      <c r="V390" s="7"/>
      <c r="W390" s="10" t="s">
        <v>31</v>
      </c>
      <c r="X390" s="10" t="s">
        <v>31</v>
      </c>
    </row>
    <row r="391" customFormat="false" ht="15" hidden="false" customHeight="true" outlineLevel="0" collapsed="false">
      <c r="A391" s="3" t="s">
        <v>1382</v>
      </c>
      <c r="B391" s="3" t="s">
        <v>1383</v>
      </c>
      <c r="C391" s="3" t="s">
        <v>1384</v>
      </c>
      <c r="D391" s="4"/>
      <c r="E391" s="4" t="s">
        <v>1385</v>
      </c>
      <c r="F391" s="4" t="s">
        <v>293</v>
      </c>
      <c r="G391" s="5"/>
      <c r="H391" s="6"/>
      <c r="I391" s="6"/>
      <c r="J391" s="4" t="n">
        <v>0</v>
      </c>
      <c r="K391" s="7" t="n">
        <v>11200</v>
      </c>
      <c r="L391" s="8" t="n">
        <v>0</v>
      </c>
      <c r="M391" s="7" t="n">
        <v>11200</v>
      </c>
      <c r="N391" s="7"/>
      <c r="O391" s="9" t="str">
        <f aca="false">IF(AND(N(G391)&gt;0,N(M391)&gt;0),G391/M391,"")</f>
        <v/>
      </c>
      <c r="P391" s="7" t="n">
        <v>11200</v>
      </c>
      <c r="Q391" s="7" t="n">
        <v>11200</v>
      </c>
      <c r="R391" s="4" t="s">
        <v>65</v>
      </c>
      <c r="S391" s="7"/>
      <c r="T391" s="7"/>
      <c r="U391" s="7"/>
      <c r="V391" s="7"/>
      <c r="W391" s="10" t="s">
        <v>31</v>
      </c>
      <c r="X391" s="10" t="s">
        <v>31</v>
      </c>
    </row>
    <row r="392" customFormat="false" ht="15" hidden="false" customHeight="true" outlineLevel="0" collapsed="false">
      <c r="A392" s="3" t="s">
        <v>1386</v>
      </c>
      <c r="B392" s="3" t="s">
        <v>1387</v>
      </c>
      <c r="C392" s="3" t="s">
        <v>1388</v>
      </c>
      <c r="D392" s="4"/>
      <c r="E392" s="4" t="s">
        <v>1389</v>
      </c>
      <c r="F392" s="4" t="s">
        <v>293</v>
      </c>
      <c r="G392" s="11" t="n">
        <v>1150</v>
      </c>
      <c r="H392" s="12" t="s">
        <v>113</v>
      </c>
      <c r="I392" s="12" t="s">
        <v>114</v>
      </c>
      <c r="J392" s="4" t="n">
        <v>0</v>
      </c>
      <c r="K392" s="7" t="n">
        <v>28500</v>
      </c>
      <c r="L392" s="8" t="n">
        <v>34</v>
      </c>
      <c r="M392" s="7" t="n">
        <v>18810</v>
      </c>
      <c r="N392" s="7"/>
      <c r="O392" s="9" t="n">
        <f aca="false">IF(AND(N(G392)&gt;0,N(M392)&gt;0),G392/M392,"")</f>
        <v>0.0611376927166401</v>
      </c>
      <c r="P392" s="7" t="n">
        <v>28500</v>
      </c>
      <c r="Q392" s="7" t="n">
        <v>18810</v>
      </c>
      <c r="R392" s="4" t="s">
        <v>65</v>
      </c>
      <c r="S392" s="7" t="n">
        <v>23090</v>
      </c>
      <c r="T392" s="7" t="n">
        <v>28500</v>
      </c>
      <c r="U392" s="7" t="n">
        <v>21890</v>
      </c>
      <c r="V392" s="7" t="n">
        <v>28500</v>
      </c>
      <c r="W392" s="10" t="s">
        <v>31</v>
      </c>
      <c r="X392" s="10" t="s">
        <v>31</v>
      </c>
    </row>
    <row r="393" customFormat="false" ht="15" hidden="false" customHeight="true" outlineLevel="0" collapsed="false">
      <c r="A393" s="3" t="s">
        <v>1390</v>
      </c>
      <c r="B393" s="3" t="s">
        <v>1391</v>
      </c>
      <c r="C393" s="3" t="s">
        <v>1392</v>
      </c>
      <c r="D393" s="4"/>
      <c r="E393" s="4" t="s">
        <v>1393</v>
      </c>
      <c r="F393" s="4" t="s">
        <v>293</v>
      </c>
      <c r="G393" s="11" t="n">
        <v>6240</v>
      </c>
      <c r="H393" s="12" t="s">
        <v>36</v>
      </c>
      <c r="I393" s="12" t="s">
        <v>37</v>
      </c>
      <c r="J393" s="4" t="n">
        <v>0</v>
      </c>
      <c r="K393" s="7" t="n">
        <v>18750</v>
      </c>
      <c r="L393" s="8" t="n">
        <v>0</v>
      </c>
      <c r="M393" s="7" t="n">
        <v>18750</v>
      </c>
      <c r="N393" s="7"/>
      <c r="O393" s="9" t="n">
        <f aca="false">IF(AND(N(G393)&gt;0,N(M393)&gt;0),G393/M393,"")</f>
        <v>0.3328</v>
      </c>
      <c r="P393" s="7" t="n">
        <v>18750</v>
      </c>
      <c r="Q393" s="7" t="n">
        <v>18750</v>
      </c>
      <c r="R393" s="4" t="s">
        <v>65</v>
      </c>
      <c r="S393" s="7"/>
      <c r="T393" s="7"/>
      <c r="U393" s="7"/>
      <c r="V393" s="7"/>
      <c r="W393" s="10" t="s">
        <v>31</v>
      </c>
      <c r="X393" s="10" t="s">
        <v>31</v>
      </c>
    </row>
    <row r="394" customFormat="false" ht="15" hidden="false" customHeight="true" outlineLevel="0" collapsed="false">
      <c r="A394" s="3" t="s">
        <v>1394</v>
      </c>
      <c r="B394" s="3" t="s">
        <v>1395</v>
      </c>
      <c r="C394" s="3" t="s">
        <v>1396</v>
      </c>
      <c r="D394" s="4"/>
      <c r="E394" s="4" t="s">
        <v>1397</v>
      </c>
      <c r="F394" s="4" t="s">
        <v>293</v>
      </c>
      <c r="G394" s="5"/>
      <c r="H394" s="6"/>
      <c r="I394" s="6"/>
      <c r="J394" s="4" t="n">
        <v>0</v>
      </c>
      <c r="K394" s="7" t="n">
        <v>8360</v>
      </c>
      <c r="L394" s="8" t="n">
        <v>0</v>
      </c>
      <c r="M394" s="7" t="n">
        <v>8360</v>
      </c>
      <c r="N394" s="7"/>
      <c r="O394" s="9" t="str">
        <f aca="false">IF(AND(N(G394)&gt;0,N(M394)&gt;0),G394/M394,"")</f>
        <v/>
      </c>
      <c r="P394" s="7" t="n">
        <v>8360</v>
      </c>
      <c r="Q394" s="7" t="n">
        <v>8360</v>
      </c>
      <c r="R394" s="4" t="s">
        <v>65</v>
      </c>
      <c r="S394" s="7"/>
      <c r="T394" s="7"/>
      <c r="U394" s="7"/>
      <c r="V394" s="7"/>
      <c r="W394" s="10" t="s">
        <v>31</v>
      </c>
      <c r="X394" s="10" t="s">
        <v>31</v>
      </c>
    </row>
    <row r="395" customFormat="false" ht="15" hidden="false" customHeight="true" outlineLevel="0" collapsed="false">
      <c r="A395" s="3" t="s">
        <v>1398</v>
      </c>
      <c r="B395" s="3" t="s">
        <v>1399</v>
      </c>
      <c r="C395" s="3" t="s">
        <v>1400</v>
      </c>
      <c r="D395" s="4"/>
      <c r="E395" s="4" t="s">
        <v>130</v>
      </c>
      <c r="F395" s="4" t="s">
        <v>293</v>
      </c>
      <c r="G395" s="5"/>
      <c r="H395" s="6"/>
      <c r="I395" s="6"/>
      <c r="J395" s="4" t="n">
        <v>0</v>
      </c>
      <c r="K395" s="7" t="n">
        <v>19800</v>
      </c>
      <c r="L395" s="8" t="n">
        <v>0</v>
      </c>
      <c r="M395" s="7" t="n">
        <v>19800</v>
      </c>
      <c r="N395" s="7"/>
      <c r="O395" s="9" t="str">
        <f aca="false">IF(AND(N(G395)&gt;0,N(M395)&gt;0),G395/M395,"")</f>
        <v/>
      </c>
      <c r="P395" s="7" t="n">
        <v>19800</v>
      </c>
      <c r="Q395" s="7" t="n">
        <v>19800</v>
      </c>
      <c r="R395" s="4" t="s">
        <v>65</v>
      </c>
      <c r="S395" s="7"/>
      <c r="T395" s="7"/>
      <c r="U395" s="7"/>
      <c r="V395" s="7"/>
      <c r="W395" s="10" t="s">
        <v>31</v>
      </c>
      <c r="X395" s="10" t="s">
        <v>31</v>
      </c>
    </row>
    <row r="396" customFormat="false" ht="15" hidden="false" customHeight="true" outlineLevel="0" collapsed="false">
      <c r="A396" s="3" t="s">
        <v>1401</v>
      </c>
      <c r="B396" s="3" t="s">
        <v>1402</v>
      </c>
      <c r="C396" s="3" t="s">
        <v>1403</v>
      </c>
      <c r="D396" s="4"/>
      <c r="E396" s="4" t="s">
        <v>1404</v>
      </c>
      <c r="F396" s="4" t="s">
        <v>293</v>
      </c>
      <c r="G396" s="5"/>
      <c r="H396" s="6"/>
      <c r="I396" s="6"/>
      <c r="J396" s="4" t="n">
        <v>0</v>
      </c>
      <c r="K396" s="7" t="n">
        <v>22000</v>
      </c>
      <c r="L396" s="8" t="n">
        <v>0</v>
      </c>
      <c r="M396" s="7" t="n">
        <v>22000</v>
      </c>
      <c r="N396" s="7"/>
      <c r="O396" s="9" t="str">
        <f aca="false">IF(AND(N(G396)&gt;0,N(M396)&gt;0),G396/M396,"")</f>
        <v/>
      </c>
      <c r="P396" s="7" t="n">
        <v>22000</v>
      </c>
      <c r="Q396" s="7" t="n">
        <v>22000</v>
      </c>
      <c r="R396" s="4" t="s">
        <v>65</v>
      </c>
      <c r="S396" s="7"/>
      <c r="T396" s="7"/>
      <c r="U396" s="7"/>
      <c r="V396" s="7"/>
      <c r="W396" s="10" t="s">
        <v>31</v>
      </c>
      <c r="X396" s="10" t="s">
        <v>31</v>
      </c>
    </row>
    <row r="397" customFormat="false" ht="15" hidden="false" customHeight="true" outlineLevel="0" collapsed="false">
      <c r="A397" s="3" t="s">
        <v>1405</v>
      </c>
      <c r="B397" s="3" t="s">
        <v>1406</v>
      </c>
      <c r="C397" s="3" t="s">
        <v>1407</v>
      </c>
      <c r="D397" s="4"/>
      <c r="E397" s="4" t="s">
        <v>1404</v>
      </c>
      <c r="F397" s="4" t="s">
        <v>293</v>
      </c>
      <c r="G397" s="5"/>
      <c r="H397" s="6"/>
      <c r="I397" s="6"/>
      <c r="J397" s="4" t="n">
        <v>0</v>
      </c>
      <c r="K397" s="7" t="n">
        <v>7200</v>
      </c>
      <c r="L397" s="8" t="n">
        <v>0</v>
      </c>
      <c r="M397" s="7" t="n">
        <v>7200</v>
      </c>
      <c r="N397" s="7"/>
      <c r="O397" s="9" t="str">
        <f aca="false">IF(AND(N(G397)&gt;0,N(M397)&gt;0),G397/M397,"")</f>
        <v/>
      </c>
      <c r="P397" s="7" t="n">
        <v>7200</v>
      </c>
      <c r="Q397" s="7" t="n">
        <v>7200</v>
      </c>
      <c r="R397" s="4" t="s">
        <v>65</v>
      </c>
      <c r="S397" s="7"/>
      <c r="T397" s="7"/>
      <c r="U397" s="7"/>
      <c r="V397" s="7"/>
      <c r="W397" s="10" t="s">
        <v>31</v>
      </c>
      <c r="X397" s="10" t="s">
        <v>31</v>
      </c>
    </row>
    <row r="398" customFormat="false" ht="15" hidden="false" customHeight="true" outlineLevel="0" collapsed="false">
      <c r="A398" s="3" t="s">
        <v>1408</v>
      </c>
      <c r="B398" s="3" t="s">
        <v>1409</v>
      </c>
      <c r="C398" s="3" t="s">
        <v>1410</v>
      </c>
      <c r="D398" s="4"/>
      <c r="E398" s="4" t="s">
        <v>1411</v>
      </c>
      <c r="F398" s="4" t="s">
        <v>293</v>
      </c>
      <c r="G398" s="5"/>
      <c r="H398" s="6"/>
      <c r="I398" s="6"/>
      <c r="J398" s="4" t="n">
        <v>0</v>
      </c>
      <c r="K398" s="7" t="n">
        <v>9800</v>
      </c>
      <c r="L398" s="8" t="n">
        <v>0</v>
      </c>
      <c r="M398" s="7" t="n">
        <v>9800</v>
      </c>
      <c r="N398" s="7"/>
      <c r="O398" s="9" t="str">
        <f aca="false">IF(AND(N(G398)&gt;0,N(M398)&gt;0),G398/M398,"")</f>
        <v/>
      </c>
      <c r="P398" s="7" t="n">
        <v>9800</v>
      </c>
      <c r="Q398" s="7" t="n">
        <v>9800</v>
      </c>
      <c r="R398" s="4" t="s">
        <v>65</v>
      </c>
      <c r="S398" s="7"/>
      <c r="T398" s="7"/>
      <c r="U398" s="7"/>
      <c r="V398" s="7"/>
      <c r="W398" s="10" t="s">
        <v>31</v>
      </c>
      <c r="X398" s="10" t="s">
        <v>31</v>
      </c>
    </row>
    <row r="399" customFormat="false" ht="15" hidden="false" customHeight="true" outlineLevel="0" collapsed="false">
      <c r="A399" s="3" t="s">
        <v>1412</v>
      </c>
      <c r="B399" s="3" t="s">
        <v>1413</v>
      </c>
      <c r="C399" s="3" t="s">
        <v>1414</v>
      </c>
      <c r="D399" s="4"/>
      <c r="E399" s="4" t="s">
        <v>1415</v>
      </c>
      <c r="F399" s="4" t="s">
        <v>293</v>
      </c>
      <c r="G399" s="5"/>
      <c r="H399" s="6"/>
      <c r="I399" s="6"/>
      <c r="J399" s="4" t="n">
        <v>0</v>
      </c>
      <c r="K399" s="7" t="n">
        <v>12225</v>
      </c>
      <c r="L399" s="8" t="n">
        <v>0</v>
      </c>
      <c r="M399" s="7" t="n">
        <v>12225</v>
      </c>
      <c r="N399" s="7"/>
      <c r="O399" s="9" t="str">
        <f aca="false">IF(AND(N(G399)&gt;0,N(M399)&gt;0),G399/M399,"")</f>
        <v/>
      </c>
      <c r="P399" s="7" t="n">
        <v>12225</v>
      </c>
      <c r="Q399" s="7" t="n">
        <v>12225</v>
      </c>
      <c r="R399" s="4" t="s">
        <v>65</v>
      </c>
      <c r="S399" s="7"/>
      <c r="T399" s="7"/>
      <c r="U399" s="7"/>
      <c r="V399" s="7"/>
      <c r="W399" s="10" t="s">
        <v>31</v>
      </c>
      <c r="X399" s="10" t="s">
        <v>31</v>
      </c>
    </row>
    <row r="400" customFormat="false" ht="15" hidden="false" customHeight="true" outlineLevel="0" collapsed="false">
      <c r="A400" s="3" t="s">
        <v>1416</v>
      </c>
      <c r="B400" s="3" t="s">
        <v>1417</v>
      </c>
      <c r="C400" s="3" t="s">
        <v>1418</v>
      </c>
      <c r="D400" s="4"/>
      <c r="E400" s="4" t="s">
        <v>1419</v>
      </c>
      <c r="F400" s="4" t="s">
        <v>293</v>
      </c>
      <c r="G400" s="5"/>
      <c r="H400" s="6"/>
      <c r="I400" s="6"/>
      <c r="J400" s="4" t="n">
        <v>0</v>
      </c>
      <c r="K400" s="7" t="n">
        <v>12600</v>
      </c>
      <c r="L400" s="8" t="n">
        <v>0</v>
      </c>
      <c r="M400" s="7" t="n">
        <v>12600</v>
      </c>
      <c r="N400" s="7"/>
      <c r="O400" s="9" t="str">
        <f aca="false">IF(AND(N(G400)&gt;0,N(M400)&gt;0),G400/M400,"")</f>
        <v/>
      </c>
      <c r="P400" s="7" t="n">
        <v>12600</v>
      </c>
      <c r="Q400" s="7" t="n">
        <v>12600</v>
      </c>
      <c r="R400" s="4" t="s">
        <v>65</v>
      </c>
      <c r="S400" s="7"/>
      <c r="T400" s="7"/>
      <c r="U400" s="7"/>
      <c r="V400" s="7"/>
      <c r="W400" s="10" t="s">
        <v>31</v>
      </c>
      <c r="X400" s="10" t="s">
        <v>31</v>
      </c>
    </row>
    <row r="401" customFormat="false" ht="15" hidden="false" customHeight="true" outlineLevel="0" collapsed="false">
      <c r="A401" s="3" t="s">
        <v>1420</v>
      </c>
      <c r="B401" s="3" t="s">
        <v>1421</v>
      </c>
      <c r="C401" s="3" t="s">
        <v>1422</v>
      </c>
      <c r="D401" s="4"/>
      <c r="E401" s="4" t="s">
        <v>1423</v>
      </c>
      <c r="F401" s="4" t="s">
        <v>293</v>
      </c>
      <c r="G401" s="5"/>
      <c r="H401" s="6"/>
      <c r="I401" s="6"/>
      <c r="J401" s="4" t="n">
        <v>0</v>
      </c>
      <c r="K401" s="7" t="n">
        <v>8850</v>
      </c>
      <c r="L401" s="8" t="n">
        <v>0</v>
      </c>
      <c r="M401" s="7" t="n">
        <v>8850</v>
      </c>
      <c r="N401" s="7"/>
      <c r="O401" s="9" t="str">
        <f aca="false">IF(AND(N(G401)&gt;0,N(M401)&gt;0),G401/M401,"")</f>
        <v/>
      </c>
      <c r="P401" s="7" t="n">
        <v>8850</v>
      </c>
      <c r="Q401" s="7" t="n">
        <v>8850</v>
      </c>
      <c r="R401" s="4" t="s">
        <v>65</v>
      </c>
      <c r="S401" s="7"/>
      <c r="T401" s="7"/>
      <c r="U401" s="7"/>
      <c r="V401" s="7"/>
      <c r="W401" s="10" t="s">
        <v>31</v>
      </c>
      <c r="X401" s="10" t="s">
        <v>31</v>
      </c>
    </row>
    <row r="402" customFormat="false" ht="15" hidden="false" customHeight="true" outlineLevel="0" collapsed="false">
      <c r="A402" s="3" t="s">
        <v>1424</v>
      </c>
      <c r="B402" s="3" t="s">
        <v>1425</v>
      </c>
      <c r="C402" s="3" t="s">
        <v>1426</v>
      </c>
      <c r="D402" s="4"/>
      <c r="E402" s="4" t="s">
        <v>1427</v>
      </c>
      <c r="F402" s="4" t="s">
        <v>293</v>
      </c>
      <c r="G402" s="5"/>
      <c r="H402" s="6"/>
      <c r="I402" s="6"/>
      <c r="J402" s="4" t="n">
        <v>0</v>
      </c>
      <c r="K402" s="7" t="n">
        <v>15000</v>
      </c>
      <c r="L402" s="8" t="n">
        <v>0</v>
      </c>
      <c r="M402" s="7" t="n">
        <v>15000</v>
      </c>
      <c r="N402" s="7"/>
      <c r="O402" s="9" t="str">
        <f aca="false">IF(AND(N(G402)&gt;0,N(M402)&gt;0),G402/M402,"")</f>
        <v/>
      </c>
      <c r="P402" s="7" t="n">
        <v>15000</v>
      </c>
      <c r="Q402" s="7" t="n">
        <v>15000</v>
      </c>
      <c r="R402" s="4" t="s">
        <v>65</v>
      </c>
      <c r="S402" s="7"/>
      <c r="T402" s="7"/>
      <c r="U402" s="7"/>
      <c r="V402" s="7"/>
      <c r="W402" s="10" t="s">
        <v>31</v>
      </c>
      <c r="X402" s="10" t="s">
        <v>31</v>
      </c>
    </row>
    <row r="403" customFormat="false" ht="15" hidden="false" customHeight="true" outlineLevel="0" collapsed="false">
      <c r="A403" s="3" t="s">
        <v>1428</v>
      </c>
      <c r="B403" s="3" t="s">
        <v>1429</v>
      </c>
      <c r="C403" s="3" t="s">
        <v>1430</v>
      </c>
      <c r="D403" s="4"/>
      <c r="E403" s="4" t="s">
        <v>1431</v>
      </c>
      <c r="F403" s="4" t="s">
        <v>293</v>
      </c>
      <c r="G403" s="5"/>
      <c r="H403" s="6"/>
      <c r="I403" s="6"/>
      <c r="J403" s="4" t="n">
        <v>0</v>
      </c>
      <c r="K403" s="7" t="n">
        <v>9500</v>
      </c>
      <c r="L403" s="8" t="n">
        <v>0</v>
      </c>
      <c r="M403" s="7" t="n">
        <v>9500</v>
      </c>
      <c r="N403" s="7"/>
      <c r="O403" s="9" t="str">
        <f aca="false">IF(AND(N(G403)&gt;0,N(M403)&gt;0),G403/M403,"")</f>
        <v/>
      </c>
      <c r="P403" s="7" t="n">
        <v>9500</v>
      </c>
      <c r="Q403" s="7" t="n">
        <v>9500</v>
      </c>
      <c r="R403" s="4" t="s">
        <v>65</v>
      </c>
      <c r="S403" s="7"/>
      <c r="T403" s="7"/>
      <c r="U403" s="7"/>
      <c r="V403" s="7"/>
      <c r="W403" s="10" t="s">
        <v>31</v>
      </c>
      <c r="X403" s="10" t="s">
        <v>31</v>
      </c>
    </row>
    <row r="404" customFormat="false" ht="15" hidden="false" customHeight="true" outlineLevel="0" collapsed="false">
      <c r="A404" s="3" t="s">
        <v>1432</v>
      </c>
      <c r="B404" s="3" t="s">
        <v>1433</v>
      </c>
      <c r="C404" s="3" t="s">
        <v>1434</v>
      </c>
      <c r="D404" s="4"/>
      <c r="E404" s="4" t="s">
        <v>1435</v>
      </c>
      <c r="F404" s="4" t="s">
        <v>293</v>
      </c>
      <c r="G404" s="5"/>
      <c r="H404" s="6"/>
      <c r="I404" s="6"/>
      <c r="J404" s="4" t="n">
        <v>0</v>
      </c>
      <c r="K404" s="7" t="n">
        <v>31200</v>
      </c>
      <c r="L404" s="8" t="n">
        <v>0</v>
      </c>
      <c r="M404" s="7" t="n">
        <v>31200</v>
      </c>
      <c r="N404" s="7"/>
      <c r="O404" s="9" t="str">
        <f aca="false">IF(AND(N(G404)&gt;0,N(M404)&gt;0),G404/M404,"")</f>
        <v/>
      </c>
      <c r="P404" s="7" t="n">
        <v>31200</v>
      </c>
      <c r="Q404" s="7" t="n">
        <v>31200</v>
      </c>
      <c r="R404" s="4" t="s">
        <v>65</v>
      </c>
      <c r="S404" s="7"/>
      <c r="T404" s="7"/>
      <c r="U404" s="7"/>
      <c r="V404" s="7"/>
      <c r="W404" s="10" t="s">
        <v>31</v>
      </c>
      <c r="X404" s="10" t="s">
        <v>31</v>
      </c>
    </row>
    <row r="405" customFormat="false" ht="15" hidden="false" customHeight="true" outlineLevel="0" collapsed="false">
      <c r="A405" s="3" t="s">
        <v>1436</v>
      </c>
      <c r="B405" s="3" t="s">
        <v>1437</v>
      </c>
      <c r="C405" s="3" t="s">
        <v>1438</v>
      </c>
      <c r="D405" s="4"/>
      <c r="E405" s="4" t="s">
        <v>1439</v>
      </c>
      <c r="F405" s="4" t="s">
        <v>293</v>
      </c>
      <c r="G405" s="5"/>
      <c r="H405" s="6"/>
      <c r="I405" s="6"/>
      <c r="J405" s="4" t="n">
        <v>0</v>
      </c>
      <c r="K405" s="7" t="n">
        <v>4125</v>
      </c>
      <c r="L405" s="8" t="n">
        <v>0</v>
      </c>
      <c r="M405" s="7" t="n">
        <v>4125</v>
      </c>
      <c r="N405" s="7"/>
      <c r="O405" s="9" t="str">
        <f aca="false">IF(AND(N(G405)&gt;0,N(M405)&gt;0),G405/M405,"")</f>
        <v/>
      </c>
      <c r="P405" s="7" t="n">
        <v>4125</v>
      </c>
      <c r="Q405" s="7" t="n">
        <v>4125</v>
      </c>
      <c r="R405" s="4" t="s">
        <v>65</v>
      </c>
      <c r="S405" s="7"/>
      <c r="T405" s="7"/>
      <c r="U405" s="7"/>
      <c r="V405" s="7"/>
      <c r="W405" s="10" t="s">
        <v>31</v>
      </c>
      <c r="X405" s="10" t="s">
        <v>31</v>
      </c>
    </row>
    <row r="406" customFormat="false" ht="15" hidden="false" customHeight="true" outlineLevel="0" collapsed="false">
      <c r="A406" s="3" t="s">
        <v>1440</v>
      </c>
      <c r="B406" s="3" t="s">
        <v>1441</v>
      </c>
      <c r="C406" s="3" t="s">
        <v>1442</v>
      </c>
      <c r="D406" s="4"/>
      <c r="E406" s="4" t="s">
        <v>1443</v>
      </c>
      <c r="F406" s="4" t="s">
        <v>293</v>
      </c>
      <c r="G406" s="5"/>
      <c r="H406" s="6"/>
      <c r="I406" s="6"/>
      <c r="J406" s="4" t="n">
        <v>0</v>
      </c>
      <c r="K406" s="7" t="n">
        <v>39990</v>
      </c>
      <c r="L406" s="8" t="n">
        <v>0</v>
      </c>
      <c r="M406" s="7" t="n">
        <v>39990</v>
      </c>
      <c r="N406" s="7"/>
      <c r="O406" s="9" t="str">
        <f aca="false">IF(AND(N(G406)&gt;0,N(M406)&gt;0),G406/M406,"")</f>
        <v/>
      </c>
      <c r="P406" s="7" t="n">
        <v>39990</v>
      </c>
      <c r="Q406" s="7" t="n">
        <v>39990</v>
      </c>
      <c r="R406" s="4" t="s">
        <v>65</v>
      </c>
      <c r="S406" s="7"/>
      <c r="T406" s="7"/>
      <c r="U406" s="7"/>
      <c r="V406" s="7"/>
      <c r="W406" s="10" t="s">
        <v>31</v>
      </c>
      <c r="X406" s="10" t="s">
        <v>31</v>
      </c>
    </row>
    <row r="407" customFormat="false" ht="15" hidden="false" customHeight="true" outlineLevel="0" collapsed="false">
      <c r="A407" s="3" t="s">
        <v>1444</v>
      </c>
      <c r="B407" s="3" t="s">
        <v>1445</v>
      </c>
      <c r="C407" s="3" t="s">
        <v>1446</v>
      </c>
      <c r="D407" s="4"/>
      <c r="E407" s="4" t="s">
        <v>1447</v>
      </c>
      <c r="F407" s="4" t="s">
        <v>293</v>
      </c>
      <c r="G407" s="11" t="n">
        <v>2450</v>
      </c>
      <c r="H407" s="12" t="s">
        <v>113</v>
      </c>
      <c r="I407" s="12" t="s">
        <v>114</v>
      </c>
      <c r="J407" s="4" t="n">
        <v>0</v>
      </c>
      <c r="K407" s="7" t="n">
        <v>20300</v>
      </c>
      <c r="L407" s="8" t="n">
        <v>45</v>
      </c>
      <c r="M407" s="7" t="n">
        <v>11165</v>
      </c>
      <c r="N407" s="7"/>
      <c r="O407" s="9" t="n">
        <f aca="false">IF(AND(N(G407)&gt;0,N(M407)&gt;0),G407/M407,"")</f>
        <v>0.219435736677116</v>
      </c>
      <c r="P407" s="7" t="n">
        <v>20300</v>
      </c>
      <c r="Q407" s="7" t="n">
        <v>11165</v>
      </c>
      <c r="R407" s="4" t="s">
        <v>65</v>
      </c>
      <c r="S407" s="7"/>
      <c r="T407" s="7"/>
      <c r="U407" s="7"/>
      <c r="V407" s="7"/>
      <c r="W407" s="10" t="s">
        <v>31</v>
      </c>
      <c r="X407" s="10" t="s">
        <v>31</v>
      </c>
    </row>
    <row r="408" customFormat="false" ht="15" hidden="false" customHeight="true" outlineLevel="0" collapsed="false">
      <c r="A408" s="3" t="s">
        <v>1448</v>
      </c>
      <c r="B408" s="3" t="s">
        <v>1449</v>
      </c>
      <c r="C408" s="3" t="s">
        <v>1450</v>
      </c>
      <c r="D408" s="4"/>
      <c r="E408" s="4" t="s">
        <v>1451</v>
      </c>
      <c r="F408" s="4" t="s">
        <v>293</v>
      </c>
      <c r="G408" s="11" t="n">
        <v>2450</v>
      </c>
      <c r="H408" s="12" t="s">
        <v>113</v>
      </c>
      <c r="I408" s="12" t="s">
        <v>114</v>
      </c>
      <c r="J408" s="4" t="n">
        <v>0</v>
      </c>
      <c r="K408" s="7" t="n">
        <v>24700</v>
      </c>
      <c r="L408" s="8" t="n">
        <v>0</v>
      </c>
      <c r="M408" s="7" t="n">
        <v>24700</v>
      </c>
      <c r="N408" s="7"/>
      <c r="O408" s="9" t="n">
        <f aca="false">IF(AND(N(G408)&gt;0,N(M408)&gt;0),G408/M408,"")</f>
        <v>0.0991902834008097</v>
      </c>
      <c r="P408" s="7" t="n">
        <v>24700</v>
      </c>
      <c r="Q408" s="7" t="n">
        <v>24700</v>
      </c>
      <c r="R408" s="4" t="s">
        <v>65</v>
      </c>
      <c r="S408" s="7"/>
      <c r="T408" s="7"/>
      <c r="U408" s="7"/>
      <c r="V408" s="7"/>
      <c r="W408" s="10" t="s">
        <v>31</v>
      </c>
      <c r="X408" s="10" t="s">
        <v>31</v>
      </c>
    </row>
    <row r="409" customFormat="false" ht="15" hidden="false" customHeight="true" outlineLevel="0" collapsed="false">
      <c r="A409" s="3" t="s">
        <v>1452</v>
      </c>
      <c r="B409" s="3" t="s">
        <v>1453</v>
      </c>
      <c r="C409" s="3" t="s">
        <v>1454</v>
      </c>
      <c r="D409" s="4"/>
      <c r="E409" s="4" t="s">
        <v>1455</v>
      </c>
      <c r="F409" s="4" t="s">
        <v>293</v>
      </c>
      <c r="G409" s="5"/>
      <c r="H409" s="6"/>
      <c r="I409" s="6"/>
      <c r="J409" s="4" t="n">
        <v>0</v>
      </c>
      <c r="K409" s="7" t="n">
        <v>25600</v>
      </c>
      <c r="L409" s="8" t="n">
        <v>0</v>
      </c>
      <c r="M409" s="7" t="n">
        <v>25600</v>
      </c>
      <c r="N409" s="7"/>
      <c r="O409" s="9" t="str">
        <f aca="false">IF(AND(N(G409)&gt;0,N(M409)&gt;0),G409/M409,"")</f>
        <v/>
      </c>
      <c r="P409" s="7" t="n">
        <v>25600</v>
      </c>
      <c r="Q409" s="7" t="n">
        <v>25600</v>
      </c>
      <c r="R409" s="4" t="s">
        <v>65</v>
      </c>
      <c r="S409" s="7"/>
      <c r="T409" s="7"/>
      <c r="U409" s="7"/>
      <c r="V409" s="7"/>
      <c r="W409" s="10" t="s">
        <v>31</v>
      </c>
      <c r="X409" s="10" t="s">
        <v>31</v>
      </c>
    </row>
    <row r="410" customFormat="false" ht="15" hidden="false" customHeight="true" outlineLevel="0" collapsed="false">
      <c r="A410" s="3" t="s">
        <v>1456</v>
      </c>
      <c r="B410" s="3" t="s">
        <v>1457</v>
      </c>
      <c r="C410" s="3" t="s">
        <v>1458</v>
      </c>
      <c r="D410" s="4"/>
      <c r="E410" s="4" t="s">
        <v>1459</v>
      </c>
      <c r="F410" s="4" t="s">
        <v>293</v>
      </c>
      <c r="G410" s="5"/>
      <c r="H410" s="6"/>
      <c r="I410" s="6"/>
      <c r="J410" s="4" t="n">
        <v>0</v>
      </c>
      <c r="K410" s="7" t="n">
        <v>17500</v>
      </c>
      <c r="L410" s="8" t="n">
        <v>0</v>
      </c>
      <c r="M410" s="7" t="n">
        <v>17500</v>
      </c>
      <c r="N410" s="7"/>
      <c r="O410" s="9" t="str">
        <f aca="false">IF(AND(N(G410)&gt;0,N(M410)&gt;0),G410/M410,"")</f>
        <v/>
      </c>
      <c r="P410" s="7" t="n">
        <v>17500</v>
      </c>
      <c r="Q410" s="7" t="n">
        <v>17500</v>
      </c>
      <c r="R410" s="4" t="s">
        <v>65</v>
      </c>
      <c r="S410" s="7"/>
      <c r="T410" s="7"/>
      <c r="U410" s="7"/>
      <c r="V410" s="7"/>
      <c r="W410" s="10" t="s">
        <v>31</v>
      </c>
      <c r="X410" s="10" t="s">
        <v>31</v>
      </c>
    </row>
    <row r="411" customFormat="false" ht="15" hidden="false" customHeight="true" outlineLevel="0" collapsed="false">
      <c r="A411" s="3" t="s">
        <v>1460</v>
      </c>
      <c r="B411" s="3" t="s">
        <v>1461</v>
      </c>
      <c r="C411" s="3" t="s">
        <v>1462</v>
      </c>
      <c r="D411" s="4"/>
      <c r="E411" s="4" t="s">
        <v>1463</v>
      </c>
      <c r="F411" s="4" t="s">
        <v>1464</v>
      </c>
      <c r="G411" s="5"/>
      <c r="H411" s="6"/>
      <c r="I411" s="6"/>
      <c r="J411" s="4" t="n">
        <v>0</v>
      </c>
      <c r="K411" s="7" t="n">
        <v>22500</v>
      </c>
      <c r="L411" s="8" t="n">
        <v>0</v>
      </c>
      <c r="M411" s="7" t="n">
        <v>22500</v>
      </c>
      <c r="N411" s="7"/>
      <c r="O411" s="9" t="str">
        <f aca="false">IF(AND(N(G411)&gt;0,N(M411)&gt;0),G411/M411,"")</f>
        <v/>
      </c>
      <c r="P411" s="7" t="n">
        <v>22500</v>
      </c>
      <c r="Q411" s="7" t="n">
        <v>22500</v>
      </c>
      <c r="R411" s="4" t="s">
        <v>65</v>
      </c>
      <c r="S411" s="7"/>
      <c r="T411" s="7"/>
      <c r="U411" s="7"/>
      <c r="V411" s="7"/>
      <c r="W411" s="10" t="s">
        <v>31</v>
      </c>
      <c r="X411" s="10" t="s">
        <v>31</v>
      </c>
    </row>
    <row r="412" customFormat="false" ht="15" hidden="false" customHeight="true" outlineLevel="0" collapsed="false"/>
  </sheetData>
  <autoFilter ref="A1:X411"/>
  <dataValidations count="1">
    <dataValidation allowBlank="true" errorStyle="stop" operator="between" showDropDown="false" showErrorMessage="false" showInputMessage="false" sqref="H2:H412" type="list">
      <formula1>"fact,analogy,guess"</formula1>
      <formula2>0</formula2>
    </dataValidation>
  </dataValidations>
  <hyperlinks>
    <hyperlink ref="W2" r:id="rId2" display="открыть"/>
    <hyperlink ref="X2" r:id="rId3" display="открыть"/>
    <hyperlink ref="W3" r:id="rId4" display="открыть"/>
    <hyperlink ref="X3" r:id="rId5" display="открыть"/>
    <hyperlink ref="W4" r:id="rId6" display="открыть"/>
    <hyperlink ref="X4" r:id="rId7" display="открыть"/>
    <hyperlink ref="W5" r:id="rId8" display="открыть"/>
    <hyperlink ref="X5" r:id="rId9" display="открыть"/>
    <hyperlink ref="W6" r:id="rId10" display="открыть"/>
    <hyperlink ref="X6" r:id="rId11" display="открыть"/>
    <hyperlink ref="W7" r:id="rId12" display="открыть"/>
    <hyperlink ref="X7" r:id="rId13" display="открыть"/>
    <hyperlink ref="W8" r:id="rId14" display="открыть"/>
    <hyperlink ref="X8" r:id="rId15" display="открыть"/>
    <hyperlink ref="W9" r:id="rId16" display="открыть"/>
    <hyperlink ref="X9" r:id="rId17" display="открыть"/>
    <hyperlink ref="W10" r:id="rId18" display="открыть"/>
    <hyperlink ref="X10" r:id="rId19" display="открыть"/>
    <hyperlink ref="W11" r:id="rId20" display="открыть"/>
    <hyperlink ref="X11" r:id="rId21" display="открыть"/>
    <hyperlink ref="W12" r:id="rId22" display="открыть"/>
    <hyperlink ref="X12" r:id="rId23" display="открыть"/>
    <hyperlink ref="W13" r:id="rId24" display="открыть"/>
    <hyperlink ref="X13" r:id="rId25" display="открыть"/>
    <hyperlink ref="W14" r:id="rId26" display="открыть"/>
    <hyperlink ref="X14" r:id="rId27" display="открыть"/>
    <hyperlink ref="W15" r:id="rId28" display="открыть"/>
    <hyperlink ref="X15" r:id="rId29" display="открыть"/>
    <hyperlink ref="W16" r:id="rId30" display="открыть"/>
    <hyperlink ref="X16" r:id="rId31" display="открыть"/>
    <hyperlink ref="W17" r:id="rId32" display="открыть"/>
    <hyperlink ref="X17" r:id="rId33" display="открыть"/>
    <hyperlink ref="W18" r:id="rId34" display="открыть"/>
    <hyperlink ref="X18" r:id="rId35" display="открыть"/>
    <hyperlink ref="W19" r:id="rId36" display="открыть"/>
    <hyperlink ref="X19" r:id="rId37" display="открыть"/>
    <hyperlink ref="W20" r:id="rId38" display="открыть"/>
    <hyperlink ref="X20" r:id="rId39" display="открыть"/>
    <hyperlink ref="W21" r:id="rId40" display="открыть"/>
    <hyperlink ref="X21" r:id="rId41" display="открыть"/>
    <hyperlink ref="W22" r:id="rId42" display="открыть"/>
    <hyperlink ref="X22" r:id="rId43" display="открыть"/>
    <hyperlink ref="W23" r:id="rId44" display="открыть"/>
    <hyperlink ref="X23" r:id="rId45" display="открыть"/>
    <hyperlink ref="W24" r:id="rId46" display="открыть"/>
    <hyperlink ref="X24" r:id="rId47" display="открыть"/>
    <hyperlink ref="W25" r:id="rId48" display="открыть"/>
    <hyperlink ref="X25" r:id="rId49" display="открыть"/>
    <hyperlink ref="W26" r:id="rId50" display="открыть"/>
    <hyperlink ref="X26" r:id="rId51" display="открыть"/>
    <hyperlink ref="W27" r:id="rId52" display="открыть"/>
    <hyperlink ref="X27" r:id="rId53" display="открыть"/>
    <hyperlink ref="W28" r:id="rId54" display="открыть"/>
    <hyperlink ref="X28" r:id="rId55" display="открыть"/>
    <hyperlink ref="W29" r:id="rId56" display="открыть"/>
    <hyperlink ref="X29" r:id="rId57" display="открыть"/>
    <hyperlink ref="W30" r:id="rId58" display="открыть"/>
    <hyperlink ref="X30" r:id="rId59" display="открыть"/>
    <hyperlink ref="W31" r:id="rId60" display="открыть"/>
    <hyperlink ref="X31" r:id="rId61" display="открыть"/>
    <hyperlink ref="W32" r:id="rId62" display="открыть"/>
    <hyperlink ref="W33" r:id="rId63" display="открыть"/>
    <hyperlink ref="W34" r:id="rId64" display="открыть"/>
    <hyperlink ref="W35" r:id="rId65" display="открыть"/>
    <hyperlink ref="X35" r:id="rId66" display="открыть"/>
    <hyperlink ref="W36" r:id="rId67" display="открыть"/>
    <hyperlink ref="W37" r:id="rId68" display="открыть"/>
    <hyperlink ref="X37" r:id="rId69" display="открыть"/>
    <hyperlink ref="W38" r:id="rId70" display="открыть"/>
    <hyperlink ref="X38" r:id="rId71" display="открыть"/>
    <hyperlink ref="W39" r:id="rId72" display="открыть"/>
    <hyperlink ref="X39" r:id="rId73" display="открыть"/>
    <hyperlink ref="W40" r:id="rId74" display="открыть"/>
    <hyperlink ref="X40" r:id="rId75" display="открыть"/>
    <hyperlink ref="W41" r:id="rId76" display="открыть"/>
    <hyperlink ref="X41" r:id="rId77" display="открыть"/>
    <hyperlink ref="W42" r:id="rId78" display="открыть"/>
    <hyperlink ref="X42" r:id="rId79" display="открыть"/>
    <hyperlink ref="W43" r:id="rId80" display="открыть"/>
    <hyperlink ref="W44" r:id="rId81" display="открыть"/>
    <hyperlink ref="X44" r:id="rId82" display="открыть"/>
    <hyperlink ref="W45" r:id="rId83" display="открыть"/>
    <hyperlink ref="X45" r:id="rId84" display="открыть"/>
    <hyperlink ref="W46" r:id="rId85" display="открыть"/>
    <hyperlink ref="X46" r:id="rId86" display="открыть"/>
    <hyperlink ref="W47" r:id="rId87" display="открыть"/>
    <hyperlink ref="W48" r:id="rId88" display="открыть"/>
    <hyperlink ref="X48" r:id="rId89" display="открыть"/>
    <hyperlink ref="W49" r:id="rId90" display="открыть"/>
    <hyperlink ref="X49" r:id="rId91" display="открыть"/>
    <hyperlink ref="W50" r:id="rId92" display="открыть"/>
    <hyperlink ref="X50" r:id="rId93" display="открыть"/>
    <hyperlink ref="W51" r:id="rId94" display="открыть"/>
    <hyperlink ref="X51" r:id="rId95" display="открыть"/>
    <hyperlink ref="W52" r:id="rId96" display="открыть"/>
    <hyperlink ref="X52" r:id="rId97" display="открыть"/>
    <hyperlink ref="W53" r:id="rId98" display="открыть"/>
    <hyperlink ref="X53" r:id="rId99" display="открыть"/>
    <hyperlink ref="W54" r:id="rId100" display="открыть"/>
    <hyperlink ref="X54" r:id="rId101" display="открыть"/>
    <hyperlink ref="W55" r:id="rId102" display="открыть"/>
    <hyperlink ref="X55" r:id="rId103" display="открыть"/>
    <hyperlink ref="W56" r:id="rId104" display="открыть"/>
    <hyperlink ref="W57" r:id="rId105" display="открыть"/>
    <hyperlink ref="W58" r:id="rId106" display="открыть"/>
    <hyperlink ref="X58" r:id="rId107" display="открыть"/>
    <hyperlink ref="W59" r:id="rId108" display="открыть"/>
    <hyperlink ref="X59" r:id="rId109" display="открыть"/>
    <hyperlink ref="W60" r:id="rId110" display="открыть"/>
    <hyperlink ref="X60" r:id="rId111" display="открыть"/>
    <hyperlink ref="W61" r:id="rId112" display="открыть"/>
    <hyperlink ref="X61" r:id="rId113" display="открыть"/>
    <hyperlink ref="W62" r:id="rId114" display="открыть"/>
    <hyperlink ref="X62" r:id="rId115" display="открыть"/>
    <hyperlink ref="W63" r:id="rId116" display="открыть"/>
    <hyperlink ref="X63" r:id="rId117" display="открыть"/>
    <hyperlink ref="W64" r:id="rId118" display="открыть"/>
    <hyperlink ref="W65" r:id="rId119" display="открыть"/>
    <hyperlink ref="X65" r:id="rId120" display="открыть"/>
    <hyperlink ref="W66" r:id="rId121" display="открыть"/>
    <hyperlink ref="X66" r:id="rId122" display="открыть"/>
    <hyperlink ref="W67" r:id="rId123" display="открыть"/>
    <hyperlink ref="X67" r:id="rId124" display="открыть"/>
    <hyperlink ref="W68" r:id="rId125" display="открыть"/>
    <hyperlink ref="X68" r:id="rId126" display="открыть"/>
    <hyperlink ref="W69" r:id="rId127" display="открыть"/>
    <hyperlink ref="X69" r:id="rId128" display="открыть"/>
    <hyperlink ref="W70" r:id="rId129" display="открыть"/>
    <hyperlink ref="X70" r:id="rId130" display="открыть"/>
    <hyperlink ref="W71" r:id="rId131" display="открыть"/>
    <hyperlink ref="X71" r:id="rId132" display="открыть"/>
    <hyperlink ref="W72" r:id="rId133" display="открыть"/>
    <hyperlink ref="X72" r:id="rId134" display="открыть"/>
    <hyperlink ref="W73" r:id="rId135" display="открыть"/>
    <hyperlink ref="X73" r:id="rId136" display="открыть"/>
    <hyperlink ref="W74" r:id="rId137" display="открыть"/>
    <hyperlink ref="W75" r:id="rId138" display="открыть"/>
    <hyperlink ref="X75" r:id="rId139" display="открыть"/>
    <hyperlink ref="W76" r:id="rId140" display="открыть"/>
    <hyperlink ref="X76" r:id="rId141" display="открыть"/>
    <hyperlink ref="W77" r:id="rId142" display="открыть"/>
    <hyperlink ref="X77" r:id="rId143" display="открыть"/>
    <hyperlink ref="W78" r:id="rId144" display="открыть"/>
    <hyperlink ref="X78" r:id="rId145" display="открыть"/>
    <hyperlink ref="W79" r:id="rId146" display="открыть"/>
    <hyperlink ref="X79" r:id="rId147" display="открыть"/>
    <hyperlink ref="W80" r:id="rId148" display="открыть"/>
    <hyperlink ref="X80" r:id="rId149" display="открыть"/>
    <hyperlink ref="W81" r:id="rId150" display="открыть"/>
    <hyperlink ref="W82" r:id="rId151" display="открыть"/>
    <hyperlink ref="X82" r:id="rId152" display="открыть"/>
    <hyperlink ref="W83" r:id="rId153" display="открыть"/>
    <hyperlink ref="X83" r:id="rId154" display="открыть"/>
    <hyperlink ref="W84" r:id="rId155" display="открыть"/>
    <hyperlink ref="X84" r:id="rId156" display="открыть"/>
    <hyperlink ref="W85" r:id="rId157" display="открыть"/>
    <hyperlink ref="X85" r:id="rId158" display="открыть"/>
    <hyperlink ref="W86" r:id="rId159" display="открыть"/>
    <hyperlink ref="X86" r:id="rId160" display="открыть"/>
    <hyperlink ref="W87" r:id="rId161" display="открыть"/>
    <hyperlink ref="X87" r:id="rId162" display="открыть"/>
    <hyperlink ref="W88" r:id="rId163" display="открыть"/>
    <hyperlink ref="X88" r:id="rId164" display="открыть"/>
    <hyperlink ref="W89" r:id="rId165" display="открыть"/>
    <hyperlink ref="X89" r:id="rId166" display="открыть"/>
    <hyperlink ref="W90" r:id="rId167" display="открыть"/>
    <hyperlink ref="X90" r:id="rId168" display="открыть"/>
    <hyperlink ref="W91" r:id="rId169" display="открыть"/>
    <hyperlink ref="X91" r:id="rId170" display="открыть"/>
    <hyperlink ref="W92" r:id="rId171" display="открыть"/>
    <hyperlink ref="X92" r:id="rId172" display="открыть"/>
    <hyperlink ref="W93" r:id="rId173" display="открыть"/>
    <hyperlink ref="X93" r:id="rId174" display="открыть"/>
    <hyperlink ref="W94" r:id="rId175" display="открыть"/>
    <hyperlink ref="X94" r:id="rId176" display="открыть"/>
    <hyperlink ref="W95" r:id="rId177" display="открыть"/>
    <hyperlink ref="X95" r:id="rId178" display="открыть"/>
    <hyperlink ref="W96" r:id="rId179" display="открыть"/>
    <hyperlink ref="X96" r:id="rId180" display="открыть"/>
    <hyperlink ref="W97" r:id="rId181" display="открыть"/>
    <hyperlink ref="X97" r:id="rId182" display="открыть"/>
    <hyperlink ref="W98" r:id="rId183" display="открыть"/>
    <hyperlink ref="X98" r:id="rId184" display="открыть"/>
    <hyperlink ref="W99" r:id="rId185" display="открыть"/>
    <hyperlink ref="X99" r:id="rId186" display="открыть"/>
    <hyperlink ref="W100" r:id="rId187" display="открыть"/>
    <hyperlink ref="X100" r:id="rId188" display="открыть"/>
    <hyperlink ref="W101" r:id="rId189" display="открыть"/>
    <hyperlink ref="X101" r:id="rId190" display="открыть"/>
    <hyperlink ref="W102" r:id="rId191" display="открыть"/>
    <hyperlink ref="X102" r:id="rId192" display="открыть"/>
    <hyperlink ref="W103" r:id="rId193" display="открыть"/>
    <hyperlink ref="X103" r:id="rId194" display="открыть"/>
    <hyperlink ref="W104" r:id="rId195" display="открыть"/>
    <hyperlink ref="X104" r:id="rId196" display="открыть"/>
    <hyperlink ref="W105" r:id="rId197" display="открыть"/>
    <hyperlink ref="X105" r:id="rId198" display="открыть"/>
    <hyperlink ref="W106" r:id="rId199" display="открыть"/>
    <hyperlink ref="X106" r:id="rId200" display="открыть"/>
    <hyperlink ref="W107" r:id="rId201" display="открыть"/>
    <hyperlink ref="X107" r:id="rId202" display="открыть"/>
    <hyperlink ref="W108" r:id="rId203" display="открыть"/>
    <hyperlink ref="X108" r:id="rId204" display="открыть"/>
    <hyperlink ref="W109" r:id="rId205" display="открыть"/>
    <hyperlink ref="X109" r:id="rId206" display="открыть"/>
    <hyperlink ref="W110" r:id="rId207" display="открыть"/>
    <hyperlink ref="X110" r:id="rId208" display="открыть"/>
    <hyperlink ref="W111" r:id="rId209" display="открыть"/>
    <hyperlink ref="X111" r:id="rId210" display="открыть"/>
    <hyperlink ref="W112" r:id="rId211" display="открыть"/>
    <hyperlink ref="X112" r:id="rId212" display="открыть"/>
    <hyperlink ref="W113" r:id="rId213" display="открыть"/>
    <hyperlink ref="X113" r:id="rId214" display="открыть"/>
    <hyperlink ref="W114" r:id="rId215" display="открыть"/>
    <hyperlink ref="X114" r:id="rId216" display="открыть"/>
    <hyperlink ref="W115" r:id="rId217" display="открыть"/>
    <hyperlink ref="X115" r:id="rId218" display="открыть"/>
    <hyperlink ref="W116" r:id="rId219" display="открыть"/>
    <hyperlink ref="X116" r:id="rId220" display="открыть"/>
    <hyperlink ref="W117" r:id="rId221" display="открыть"/>
    <hyperlink ref="X117" r:id="rId222" display="открыть"/>
    <hyperlink ref="W118" r:id="rId223" display="открыть"/>
    <hyperlink ref="X118" r:id="rId224" display="открыть"/>
    <hyperlink ref="W119" r:id="rId225" display="открыть"/>
    <hyperlink ref="X119" r:id="rId226" display="открыть"/>
    <hyperlink ref="W120" r:id="rId227" display="открыть"/>
    <hyperlink ref="X120" r:id="rId228" display="открыть"/>
    <hyperlink ref="W121" r:id="rId229" display="открыть"/>
    <hyperlink ref="X121" r:id="rId230" display="открыть"/>
    <hyperlink ref="W122" r:id="rId231" display="открыть"/>
    <hyperlink ref="X122" r:id="rId232" display="открыть"/>
    <hyperlink ref="W123" r:id="rId233" display="открыть"/>
    <hyperlink ref="X123" r:id="rId234" display="открыть"/>
    <hyperlink ref="W124" r:id="rId235" display="открыть"/>
    <hyperlink ref="X124" r:id="rId236" display="открыть"/>
    <hyperlink ref="W125" r:id="rId237" display="открыть"/>
    <hyperlink ref="X125" r:id="rId238" display="открыть"/>
    <hyperlink ref="W126" r:id="rId239" display="открыть"/>
    <hyperlink ref="X126" r:id="rId240" display="открыть"/>
    <hyperlink ref="W127" r:id="rId241" display="открыть"/>
    <hyperlink ref="X127" r:id="rId242" display="открыть"/>
    <hyperlink ref="W128" r:id="rId243" display="открыть"/>
    <hyperlink ref="X128" r:id="rId244" display="открыть"/>
    <hyperlink ref="W129" r:id="rId245" display="открыть"/>
    <hyperlink ref="X129" r:id="rId246" display="открыть"/>
    <hyperlink ref="W130" r:id="rId247" display="открыть"/>
    <hyperlink ref="X130" r:id="rId248" display="открыть"/>
    <hyperlink ref="W131" r:id="rId249" display="открыть"/>
    <hyperlink ref="X131" r:id="rId250" display="открыть"/>
    <hyperlink ref="W132" r:id="rId251" display="открыть"/>
    <hyperlink ref="X132" r:id="rId252" display="открыть"/>
    <hyperlink ref="W133" r:id="rId253" display="открыть"/>
    <hyperlink ref="X133" r:id="rId254" display="открыть"/>
    <hyperlink ref="W134" r:id="rId255" display="открыть"/>
    <hyperlink ref="X134" r:id="rId256" display="открыть"/>
    <hyperlink ref="W135" r:id="rId257" display="открыть"/>
    <hyperlink ref="X135" r:id="rId258" display="открыть"/>
    <hyperlink ref="W136" r:id="rId259" display="открыть"/>
    <hyperlink ref="X136" r:id="rId260" display="открыть"/>
    <hyperlink ref="W137" r:id="rId261" display="открыть"/>
    <hyperlink ref="X137" r:id="rId262" display="открыть"/>
    <hyperlink ref="W138" r:id="rId263" display="открыть"/>
    <hyperlink ref="X138" r:id="rId264" display="открыть"/>
    <hyperlink ref="W139" r:id="rId265" display="открыть"/>
    <hyperlink ref="X139" r:id="rId266" display="открыть"/>
    <hyperlink ref="W140" r:id="rId267" display="открыть"/>
    <hyperlink ref="X140" r:id="rId268" display="открыть"/>
    <hyperlink ref="W141" r:id="rId269" display="открыть"/>
    <hyperlink ref="X141" r:id="rId270" display="открыть"/>
    <hyperlink ref="W142" r:id="rId271" display="открыть"/>
    <hyperlink ref="X142" r:id="rId272" display="открыть"/>
    <hyperlink ref="W143" r:id="rId273" display="открыть"/>
    <hyperlink ref="X143" r:id="rId274" display="открыть"/>
    <hyperlink ref="W144" r:id="rId275" display="открыть"/>
    <hyperlink ref="X144" r:id="rId276" display="открыть"/>
    <hyperlink ref="W145" r:id="rId277" display="открыть"/>
    <hyperlink ref="X145" r:id="rId278" display="открыть"/>
    <hyperlink ref="W146" r:id="rId279" display="открыть"/>
    <hyperlink ref="X146" r:id="rId280" display="открыть"/>
    <hyperlink ref="W147" r:id="rId281" display="открыть"/>
    <hyperlink ref="X147" r:id="rId282" display="открыть"/>
    <hyperlink ref="W148" r:id="rId283" display="открыть"/>
    <hyperlink ref="X148" r:id="rId284" display="открыть"/>
    <hyperlink ref="W149" r:id="rId285" display="открыть"/>
    <hyperlink ref="X149" r:id="rId286" display="открыть"/>
    <hyperlink ref="W150" r:id="rId287" display="открыть"/>
    <hyperlink ref="X150" r:id="rId288" display="открыть"/>
    <hyperlink ref="W151" r:id="rId289" display="открыть"/>
    <hyperlink ref="X151" r:id="rId290" display="открыть"/>
    <hyperlink ref="W152" r:id="rId291" display="открыть"/>
    <hyperlink ref="X152" r:id="rId292" display="открыть"/>
    <hyperlink ref="W153" r:id="rId293" display="открыть"/>
    <hyperlink ref="X153" r:id="rId294" display="открыть"/>
    <hyperlink ref="W154" r:id="rId295" display="открыть"/>
    <hyperlink ref="X154" r:id="rId296" display="открыть"/>
    <hyperlink ref="W155" r:id="rId297" display="открыть"/>
    <hyperlink ref="X155" r:id="rId298" display="открыть"/>
    <hyperlink ref="W156" r:id="rId299" display="открыть"/>
    <hyperlink ref="X156" r:id="rId300" display="открыть"/>
    <hyperlink ref="W157" r:id="rId301" display="открыть"/>
    <hyperlink ref="X157" r:id="rId302" display="открыть"/>
    <hyperlink ref="W158" r:id="rId303" display="открыть"/>
    <hyperlink ref="X158" r:id="rId304" display="открыть"/>
    <hyperlink ref="W159" r:id="rId305" display="открыть"/>
    <hyperlink ref="X159" r:id="rId306" display="открыть"/>
    <hyperlink ref="W160" r:id="rId307" display="открыть"/>
    <hyperlink ref="X160" r:id="rId308" display="открыть"/>
    <hyperlink ref="W161" r:id="rId309" display="открыть"/>
    <hyperlink ref="X161" r:id="rId310" display="открыть"/>
    <hyperlink ref="W162" r:id="rId311" display="открыть"/>
    <hyperlink ref="W163" r:id="rId312" display="открыть"/>
    <hyperlink ref="X163" r:id="rId313" display="открыть"/>
    <hyperlink ref="W164" r:id="rId314" display="открыть"/>
    <hyperlink ref="X164" r:id="rId315" display="открыть"/>
    <hyperlink ref="W165" r:id="rId316" display="открыть"/>
    <hyperlink ref="X165" r:id="rId317" display="открыть"/>
    <hyperlink ref="W166" r:id="rId318" display="открыть"/>
    <hyperlink ref="X166" r:id="rId319" display="открыть"/>
    <hyperlink ref="W167" r:id="rId320" display="открыть"/>
    <hyperlink ref="X167" r:id="rId321" display="открыть"/>
    <hyperlink ref="W168" r:id="rId322" display="открыть"/>
    <hyperlink ref="X168" r:id="rId323" display="открыть"/>
    <hyperlink ref="W169" r:id="rId324" display="открыть"/>
    <hyperlink ref="X169" r:id="rId325" display="открыть"/>
    <hyperlink ref="W170" r:id="rId326" display="открыть"/>
    <hyperlink ref="X170" r:id="rId327" display="открыть"/>
    <hyperlink ref="W171" r:id="rId328" display="открыть"/>
    <hyperlink ref="X171" r:id="rId329" display="открыть"/>
    <hyperlink ref="W172" r:id="rId330" display="открыть"/>
    <hyperlink ref="X172" r:id="rId331" display="открыть"/>
    <hyperlink ref="W173" r:id="rId332" display="открыть"/>
    <hyperlink ref="X173" r:id="rId333" display="открыть"/>
    <hyperlink ref="W174" r:id="rId334" display="открыть"/>
    <hyperlink ref="X174" r:id="rId335" display="открыть"/>
    <hyperlink ref="W175" r:id="rId336" display="открыть"/>
    <hyperlink ref="X175" r:id="rId337" display="открыть"/>
    <hyperlink ref="W176" r:id="rId338" display="открыть"/>
    <hyperlink ref="X176" r:id="rId339" display="открыть"/>
    <hyperlink ref="W177" r:id="rId340" display="открыть"/>
    <hyperlink ref="X177" r:id="rId341" display="открыть"/>
    <hyperlink ref="W178" r:id="rId342" display="открыть"/>
    <hyperlink ref="X178" r:id="rId343" display="открыть"/>
    <hyperlink ref="W179" r:id="rId344" display="открыть"/>
    <hyperlink ref="X179" r:id="rId345" display="открыть"/>
    <hyperlink ref="W180" r:id="rId346" display="открыть"/>
    <hyperlink ref="X180" r:id="rId347" display="открыть"/>
    <hyperlink ref="W181" r:id="rId348" display="открыть"/>
    <hyperlink ref="X181" r:id="rId349" display="открыть"/>
    <hyperlink ref="W182" r:id="rId350" display="открыть"/>
    <hyperlink ref="X182" r:id="rId351" display="открыть"/>
    <hyperlink ref="W183" r:id="rId352" display="открыть"/>
    <hyperlink ref="X183" r:id="rId353" display="открыть"/>
    <hyperlink ref="W184" r:id="rId354" display="открыть"/>
    <hyperlink ref="X184" r:id="rId355" display="открыть"/>
    <hyperlink ref="W185" r:id="rId356" display="открыть"/>
    <hyperlink ref="X185" r:id="rId357" display="открыть"/>
    <hyperlink ref="W186" r:id="rId358" display="открыть"/>
    <hyperlink ref="X186" r:id="rId359" display="открыть"/>
    <hyperlink ref="W187" r:id="rId360" display="открыть"/>
    <hyperlink ref="X187" r:id="rId361" display="открыть"/>
    <hyperlink ref="W188" r:id="rId362" display="открыть"/>
    <hyperlink ref="X188" r:id="rId363" display="открыть"/>
    <hyperlink ref="W189" r:id="rId364" display="открыть"/>
    <hyperlink ref="X189" r:id="rId365" display="открыть"/>
    <hyperlink ref="W190" r:id="rId366" display="открыть"/>
    <hyperlink ref="X190" r:id="rId367" display="открыть"/>
    <hyperlink ref="W191" r:id="rId368" display="открыть"/>
    <hyperlink ref="X191" r:id="rId369" display="открыть"/>
    <hyperlink ref="W192" r:id="rId370" display="открыть"/>
    <hyperlink ref="X192" r:id="rId371" display="открыть"/>
    <hyperlink ref="W193" r:id="rId372" display="открыть"/>
    <hyperlink ref="X193" r:id="rId373" display="открыть"/>
    <hyperlink ref="W194" r:id="rId374" display="открыть"/>
    <hyperlink ref="X194" r:id="rId375" display="открыть"/>
    <hyperlink ref="W195" r:id="rId376" display="открыть"/>
    <hyperlink ref="X195" r:id="rId377" display="открыть"/>
    <hyperlink ref="W196" r:id="rId378" display="открыть"/>
    <hyperlink ref="X196" r:id="rId379" display="открыть"/>
    <hyperlink ref="W197" r:id="rId380" display="открыть"/>
    <hyperlink ref="X197" r:id="rId381" display="открыть"/>
    <hyperlink ref="W198" r:id="rId382" display="открыть"/>
    <hyperlink ref="X198" r:id="rId383" display="открыть"/>
    <hyperlink ref="W199" r:id="rId384" display="открыть"/>
    <hyperlink ref="X199" r:id="rId385" display="открыть"/>
    <hyperlink ref="W200" r:id="rId386" display="открыть"/>
    <hyperlink ref="X200" r:id="rId387" display="открыть"/>
    <hyperlink ref="W201" r:id="rId388" display="открыть"/>
    <hyperlink ref="X201" r:id="rId389" display="открыть"/>
    <hyperlink ref="W202" r:id="rId390" display="открыть"/>
    <hyperlink ref="X202" r:id="rId391" display="открыть"/>
    <hyperlink ref="W203" r:id="rId392" display="открыть"/>
    <hyperlink ref="X203" r:id="rId393" display="открыть"/>
    <hyperlink ref="W204" r:id="rId394" display="открыть"/>
    <hyperlink ref="W205" r:id="rId395" display="открыть"/>
    <hyperlink ref="W206" r:id="rId396" display="открыть"/>
    <hyperlink ref="X206" r:id="rId397" display="открыть"/>
    <hyperlink ref="W207" r:id="rId398" display="открыть"/>
    <hyperlink ref="X207" r:id="rId399" display="открыть"/>
    <hyperlink ref="W208" r:id="rId400" display="открыть"/>
    <hyperlink ref="W209" r:id="rId401" display="открыть"/>
    <hyperlink ref="W210" r:id="rId402" display="открыть"/>
    <hyperlink ref="X210" r:id="rId403" display="открыть"/>
    <hyperlink ref="W211" r:id="rId404" display="открыть"/>
    <hyperlink ref="W212" r:id="rId405" display="открыть"/>
    <hyperlink ref="X212" r:id="rId406" display="открыть"/>
    <hyperlink ref="W213" r:id="rId407" display="открыть"/>
    <hyperlink ref="X213" r:id="rId408" display="открыть"/>
    <hyperlink ref="W214" r:id="rId409" display="открыть"/>
    <hyperlink ref="X214" r:id="rId410" display="открыть"/>
    <hyperlink ref="W215" r:id="rId411" display="открыть"/>
    <hyperlink ref="X215" r:id="rId412" display="открыть"/>
    <hyperlink ref="W216" r:id="rId413" display="открыть"/>
    <hyperlink ref="X216" r:id="rId414" display="открыть"/>
    <hyperlink ref="W217" r:id="rId415" display="открыть"/>
    <hyperlink ref="X217" r:id="rId416" display="открыть"/>
    <hyperlink ref="W218" r:id="rId417" display="открыть"/>
    <hyperlink ref="X218" r:id="rId418" display="открыть"/>
    <hyperlink ref="W219" r:id="rId419" display="открыть"/>
    <hyperlink ref="X219" r:id="rId420" display="открыть"/>
    <hyperlink ref="W220" r:id="rId421" display="открыть"/>
    <hyperlink ref="X220" r:id="rId422" display="открыть"/>
    <hyperlink ref="W221" r:id="rId423" display="открыть"/>
    <hyperlink ref="X221" r:id="rId424" display="открыть"/>
    <hyperlink ref="W222" r:id="rId425" display="открыть"/>
    <hyperlink ref="X222" r:id="rId426" display="открыть"/>
    <hyperlink ref="W223" r:id="rId427" display="открыть"/>
    <hyperlink ref="X223" r:id="rId428" display="открыть"/>
    <hyperlink ref="W224" r:id="rId429" display="открыть"/>
    <hyperlink ref="X224" r:id="rId430" display="открыть"/>
    <hyperlink ref="W225" r:id="rId431" display="открыть"/>
    <hyperlink ref="X225" r:id="rId432" display="открыть"/>
    <hyperlink ref="W226" r:id="rId433" display="открыть"/>
    <hyperlink ref="X226" r:id="rId434" display="открыть"/>
    <hyperlink ref="W227" r:id="rId435" display="открыть"/>
    <hyperlink ref="X227" r:id="rId436" display="открыть"/>
    <hyperlink ref="W228" r:id="rId437" display="открыть"/>
    <hyperlink ref="X228" r:id="rId438" display="открыть"/>
    <hyperlink ref="W229" r:id="rId439" display="открыть"/>
    <hyperlink ref="X229" r:id="rId440" display="открыть"/>
    <hyperlink ref="W230" r:id="rId441" display="открыть"/>
    <hyperlink ref="X230" r:id="rId442" display="открыть"/>
    <hyperlink ref="W231" r:id="rId443" display="открыть"/>
    <hyperlink ref="X231" r:id="rId444" display="открыть"/>
    <hyperlink ref="W232" r:id="rId445" display="открыть"/>
    <hyperlink ref="X232" r:id="rId446" display="открыть"/>
    <hyperlink ref="W233" r:id="rId447" display="открыть"/>
    <hyperlink ref="X233" r:id="rId448" display="открыть"/>
    <hyperlink ref="W234" r:id="rId449" display="открыть"/>
    <hyperlink ref="X234" r:id="rId450" display="открыть"/>
    <hyperlink ref="W235" r:id="rId451" display="открыть"/>
    <hyperlink ref="X235" r:id="rId452" display="открыть"/>
    <hyperlink ref="W236" r:id="rId453" display="открыть"/>
    <hyperlink ref="X236" r:id="rId454" display="открыть"/>
    <hyperlink ref="W237" r:id="rId455" display="открыть"/>
    <hyperlink ref="X237" r:id="rId456" display="открыть"/>
    <hyperlink ref="W238" r:id="rId457" display="открыть"/>
    <hyperlink ref="X238" r:id="rId458" display="открыть"/>
    <hyperlink ref="W239" r:id="rId459" display="открыть"/>
    <hyperlink ref="X239" r:id="rId460" display="открыть"/>
    <hyperlink ref="W240" r:id="rId461" display="открыть"/>
    <hyperlink ref="X240" r:id="rId462" display="открыть"/>
    <hyperlink ref="W241" r:id="rId463" display="открыть"/>
    <hyperlink ref="X241" r:id="rId464" display="открыть"/>
    <hyperlink ref="W242" r:id="rId465" display="открыть"/>
    <hyperlink ref="X242" r:id="rId466" display="открыть"/>
    <hyperlink ref="W243" r:id="rId467" display="открыть"/>
    <hyperlink ref="X243" r:id="rId468" display="открыть"/>
    <hyperlink ref="W245" r:id="rId469" display="открыть"/>
    <hyperlink ref="X245" r:id="rId470" display="открыть"/>
    <hyperlink ref="W246" r:id="rId471" display="открыть"/>
    <hyperlink ref="X246" r:id="rId472" display="открыть"/>
    <hyperlink ref="W247" r:id="rId473" display="открыть"/>
    <hyperlink ref="X247" r:id="rId474" display="открыть"/>
    <hyperlink ref="W248" r:id="rId475" display="открыть"/>
    <hyperlink ref="X248" r:id="rId476" display="открыть"/>
    <hyperlink ref="W249" r:id="rId477" display="открыть"/>
    <hyperlink ref="X249" r:id="rId478" display="открыть"/>
    <hyperlink ref="W250" r:id="rId479" display="открыть"/>
    <hyperlink ref="X250" r:id="rId480" display="открыть"/>
    <hyperlink ref="W251" r:id="rId481" display="открыть"/>
    <hyperlink ref="X251" r:id="rId482" display="открыть"/>
    <hyperlink ref="W252" r:id="rId483" display="открыть"/>
    <hyperlink ref="X252" r:id="rId484" display="открыть"/>
    <hyperlink ref="W253" r:id="rId485" display="открыть"/>
    <hyperlink ref="X253" r:id="rId486" display="открыть"/>
    <hyperlink ref="W254" r:id="rId487" display="открыть"/>
    <hyperlink ref="X254" r:id="rId488" display="открыть"/>
    <hyperlink ref="W255" r:id="rId489" display="открыть"/>
    <hyperlink ref="X255" r:id="rId490" display="открыть"/>
    <hyperlink ref="W256" r:id="rId491" display="открыть"/>
    <hyperlink ref="X256" r:id="rId492" display="открыть"/>
    <hyperlink ref="W257" r:id="rId493" display="открыть"/>
    <hyperlink ref="X257" r:id="rId494" display="открыть"/>
    <hyperlink ref="W258" r:id="rId495" display="открыть"/>
    <hyperlink ref="X258" r:id="rId496" display="открыть"/>
    <hyperlink ref="W259" r:id="rId497" display="открыть"/>
    <hyperlink ref="X259" r:id="rId498" display="открыть"/>
    <hyperlink ref="W260" r:id="rId499" display="открыть"/>
    <hyperlink ref="X260" r:id="rId500" display="открыть"/>
    <hyperlink ref="W261" r:id="rId501" display="открыть"/>
    <hyperlink ref="X261" r:id="rId502" display="открыть"/>
    <hyperlink ref="W262" r:id="rId503" display="открыть"/>
    <hyperlink ref="X262" r:id="rId504" display="открыть"/>
    <hyperlink ref="W263" r:id="rId505" display="открыть"/>
    <hyperlink ref="X263" r:id="rId506" display="открыть"/>
    <hyperlink ref="W264" r:id="rId507" display="открыть"/>
    <hyperlink ref="X264" r:id="rId508" display="открыть"/>
    <hyperlink ref="W265" r:id="rId509" display="открыть"/>
    <hyperlink ref="X265" r:id="rId510" display="открыть"/>
    <hyperlink ref="W266" r:id="rId511" display="открыть"/>
    <hyperlink ref="X266" r:id="rId512" display="открыть"/>
    <hyperlink ref="W267" r:id="rId513" display="открыть"/>
    <hyperlink ref="X267" r:id="rId514" display="открыть"/>
    <hyperlink ref="W268" r:id="rId515" display="открыть"/>
    <hyperlink ref="X268" r:id="rId516" display="открыть"/>
    <hyperlink ref="W269" r:id="rId517" display="открыть"/>
    <hyperlink ref="X269" r:id="rId518" display="открыть"/>
    <hyperlink ref="W270" r:id="rId519" display="открыть"/>
    <hyperlink ref="X270" r:id="rId520" display="открыть"/>
    <hyperlink ref="W271" r:id="rId521" display="открыть"/>
    <hyperlink ref="X271" r:id="rId522" display="открыть"/>
    <hyperlink ref="W272" r:id="rId523" display="открыть"/>
    <hyperlink ref="X272" r:id="rId524" display="открыть"/>
    <hyperlink ref="W273" r:id="rId525" display="открыть"/>
    <hyperlink ref="X273" r:id="rId526" display="открыть"/>
    <hyperlink ref="W274" r:id="rId527" display="открыть"/>
    <hyperlink ref="X274" r:id="rId528" display="открыть"/>
    <hyperlink ref="W275" r:id="rId529" display="открыть"/>
    <hyperlink ref="X275" r:id="rId530" display="открыть"/>
    <hyperlink ref="W276" r:id="rId531" display="открыть"/>
    <hyperlink ref="X276" r:id="rId532" display="открыть"/>
    <hyperlink ref="W277" r:id="rId533" display="открыть"/>
    <hyperlink ref="X277" r:id="rId534" display="открыть"/>
    <hyperlink ref="W278" r:id="rId535" display="открыть"/>
    <hyperlink ref="X278" r:id="rId536" display="открыть"/>
    <hyperlink ref="W279" r:id="rId537" display="открыть"/>
    <hyperlink ref="X279" r:id="rId538" display="открыть"/>
    <hyperlink ref="W280" r:id="rId539" display="открыть"/>
    <hyperlink ref="X280" r:id="rId540" display="открыть"/>
    <hyperlink ref="W281" r:id="rId541" display="открыть"/>
    <hyperlink ref="X281" r:id="rId542" display="открыть"/>
    <hyperlink ref="W282" r:id="rId543" display="открыть"/>
    <hyperlink ref="X282" r:id="rId544" display="открыть"/>
    <hyperlink ref="W283" r:id="rId545" display="открыть"/>
    <hyperlink ref="X283" r:id="rId546" display="открыть"/>
    <hyperlink ref="W284" r:id="rId547" display="открыть"/>
    <hyperlink ref="X284" r:id="rId548" display="открыть"/>
    <hyperlink ref="W285" r:id="rId549" display="открыть"/>
    <hyperlink ref="X285" r:id="rId550" display="открыть"/>
    <hyperlink ref="W286" r:id="rId551" display="открыть"/>
    <hyperlink ref="X286" r:id="rId552" display="открыть"/>
    <hyperlink ref="W287" r:id="rId553" display="открыть"/>
    <hyperlink ref="X287" r:id="rId554" display="открыть"/>
    <hyperlink ref="W288" r:id="rId555" display="открыть"/>
    <hyperlink ref="X288" r:id="rId556" display="открыть"/>
    <hyperlink ref="W289" r:id="rId557" display="открыть"/>
    <hyperlink ref="X289" r:id="rId558" display="открыть"/>
    <hyperlink ref="W290" r:id="rId559" display="открыть"/>
    <hyperlink ref="X290" r:id="rId560" display="открыть"/>
    <hyperlink ref="W291" r:id="rId561" display="открыть"/>
    <hyperlink ref="X291" r:id="rId562" display="открыть"/>
    <hyperlink ref="W292" r:id="rId563" display="открыть"/>
    <hyperlink ref="X292" r:id="rId564" display="открыть"/>
    <hyperlink ref="W293" r:id="rId565" display="открыть"/>
    <hyperlink ref="X293" r:id="rId566" display="открыть"/>
    <hyperlink ref="W294" r:id="rId567" display="открыть"/>
    <hyperlink ref="X294" r:id="rId568" display="открыть"/>
    <hyperlink ref="W295" r:id="rId569" display="открыть"/>
    <hyperlink ref="X295" r:id="rId570" display="открыть"/>
    <hyperlink ref="W296" r:id="rId571" display="открыть"/>
    <hyperlink ref="X296" r:id="rId572" display="открыть"/>
    <hyperlink ref="W297" r:id="rId573" display="открыть"/>
    <hyperlink ref="X297" r:id="rId574" display="открыть"/>
    <hyperlink ref="W298" r:id="rId575" display="открыть"/>
    <hyperlink ref="X298" r:id="rId576" display="открыть"/>
    <hyperlink ref="W299" r:id="rId577" display="открыть"/>
    <hyperlink ref="X299" r:id="rId578" display="открыть"/>
    <hyperlink ref="W300" r:id="rId579" display="открыть"/>
    <hyperlink ref="X300" r:id="rId580" display="открыть"/>
    <hyperlink ref="W301" r:id="rId581" display="открыть"/>
    <hyperlink ref="X301" r:id="rId582" display="открыть"/>
    <hyperlink ref="W302" r:id="rId583" display="открыть"/>
    <hyperlink ref="X302" r:id="rId584" display="открыть"/>
    <hyperlink ref="W303" r:id="rId585" display="открыть"/>
    <hyperlink ref="X303" r:id="rId586" display="открыть"/>
    <hyperlink ref="W304" r:id="rId587" display="открыть"/>
    <hyperlink ref="X304" r:id="rId588" display="открыть"/>
    <hyperlink ref="W305" r:id="rId589" display="открыть"/>
    <hyperlink ref="X305" r:id="rId590" display="открыть"/>
    <hyperlink ref="W306" r:id="rId591" display="открыть"/>
    <hyperlink ref="X306" r:id="rId592" display="открыть"/>
    <hyperlink ref="W307" r:id="rId593" display="открыть"/>
    <hyperlink ref="X307" r:id="rId594" display="открыть"/>
    <hyperlink ref="W308" r:id="rId595" display="открыть"/>
    <hyperlink ref="X308" r:id="rId596" display="открыть"/>
    <hyperlink ref="W309" r:id="rId597" display="открыть"/>
    <hyperlink ref="X309" r:id="rId598" display="открыть"/>
    <hyperlink ref="W310" r:id="rId599" display="открыть"/>
    <hyperlink ref="X310" r:id="rId600" display="открыть"/>
    <hyperlink ref="W311" r:id="rId601" display="открыть"/>
    <hyperlink ref="X311" r:id="rId602" display="открыть"/>
    <hyperlink ref="W312" r:id="rId603" display="открыть"/>
    <hyperlink ref="X312" r:id="rId604" display="открыть"/>
    <hyperlink ref="W313" r:id="rId605" display="открыть"/>
    <hyperlink ref="X313" r:id="rId606" display="открыть"/>
    <hyperlink ref="W314" r:id="rId607" display="открыть"/>
    <hyperlink ref="X314" r:id="rId608" display="открыть"/>
    <hyperlink ref="W315" r:id="rId609" display="открыть"/>
    <hyperlink ref="X315" r:id="rId610" display="открыть"/>
    <hyperlink ref="W316" r:id="rId611" display="открыть"/>
    <hyperlink ref="X316" r:id="rId612" display="открыть"/>
    <hyperlink ref="W317" r:id="rId613" display="открыть"/>
    <hyperlink ref="X317" r:id="rId614" display="открыть"/>
    <hyperlink ref="W318" r:id="rId615" display="открыть"/>
    <hyperlink ref="X318" r:id="rId616" display="открыть"/>
    <hyperlink ref="W319" r:id="rId617" display="открыть"/>
    <hyperlink ref="X319" r:id="rId618" display="открыть"/>
    <hyperlink ref="W320" r:id="rId619" display="открыть"/>
    <hyperlink ref="X320" r:id="rId620" display="открыть"/>
    <hyperlink ref="W321" r:id="rId621" display="открыть"/>
    <hyperlink ref="X321" r:id="rId622" display="открыть"/>
    <hyperlink ref="W322" r:id="rId623" display="открыть"/>
    <hyperlink ref="X322" r:id="rId624" display="открыть"/>
    <hyperlink ref="W323" r:id="rId625" display="открыть"/>
    <hyperlink ref="X323" r:id="rId626" display="открыть"/>
    <hyperlink ref="W324" r:id="rId627" display="открыть"/>
    <hyperlink ref="X324" r:id="rId628" display="открыть"/>
    <hyperlink ref="W325" r:id="rId629" display="открыть"/>
    <hyperlink ref="X325" r:id="rId630" display="открыть"/>
    <hyperlink ref="W326" r:id="rId631" display="открыть"/>
    <hyperlink ref="X326" r:id="rId632" display="открыть"/>
    <hyperlink ref="W327" r:id="rId633" display="открыть"/>
    <hyperlink ref="X327" r:id="rId634" display="открыть"/>
    <hyperlink ref="W328" r:id="rId635" display="открыть"/>
    <hyperlink ref="X328" r:id="rId636" display="открыть"/>
    <hyperlink ref="W329" r:id="rId637" display="открыть"/>
    <hyperlink ref="X329" r:id="rId638" display="открыть"/>
    <hyperlink ref="W330" r:id="rId639" display="открыть"/>
    <hyperlink ref="X330" r:id="rId640" display="открыть"/>
    <hyperlink ref="W331" r:id="rId641" display="открыть"/>
    <hyperlink ref="X331" r:id="rId642" display="открыть"/>
    <hyperlink ref="W332" r:id="rId643" display="открыть"/>
    <hyperlink ref="X332" r:id="rId644" display="открыть"/>
    <hyperlink ref="W333" r:id="rId645" display="открыть"/>
    <hyperlink ref="X333" r:id="rId646" display="открыть"/>
    <hyperlink ref="W334" r:id="rId647" display="открыть"/>
    <hyperlink ref="X334" r:id="rId648" display="открыть"/>
    <hyperlink ref="W335" r:id="rId649" display="открыть"/>
    <hyperlink ref="X335" r:id="rId650" display="открыть"/>
    <hyperlink ref="W336" r:id="rId651" display="открыть"/>
    <hyperlink ref="X336" r:id="rId652" display="открыть"/>
    <hyperlink ref="W337" r:id="rId653" display="открыть"/>
    <hyperlink ref="X337" r:id="rId654" display="открыть"/>
    <hyperlink ref="W338" r:id="rId655" display="открыть"/>
    <hyperlink ref="X338" r:id="rId656" display="открыть"/>
    <hyperlink ref="W339" r:id="rId657" display="открыть"/>
    <hyperlink ref="X339" r:id="rId658" display="открыть"/>
    <hyperlink ref="W340" r:id="rId659" display="открыть"/>
    <hyperlink ref="X340" r:id="rId660" display="открыть"/>
    <hyperlink ref="W341" r:id="rId661" display="открыть"/>
    <hyperlink ref="X341" r:id="rId662" display="открыть"/>
    <hyperlink ref="W342" r:id="rId663" display="открыть"/>
    <hyperlink ref="X342" r:id="rId664" display="открыть"/>
    <hyperlink ref="W343" r:id="rId665" display="открыть"/>
    <hyperlink ref="X343" r:id="rId666" display="открыть"/>
    <hyperlink ref="W344" r:id="rId667" display="открыть"/>
    <hyperlink ref="X344" r:id="rId668" display="открыть"/>
    <hyperlink ref="W345" r:id="rId669" display="открыть"/>
    <hyperlink ref="X345" r:id="rId670" display="открыть"/>
    <hyperlink ref="W346" r:id="rId671" display="открыть"/>
    <hyperlink ref="X346" r:id="rId672" display="открыть"/>
    <hyperlink ref="W347" r:id="rId673" display="открыть"/>
    <hyperlink ref="X347" r:id="rId674" display="открыть"/>
    <hyperlink ref="W348" r:id="rId675" display="открыть"/>
    <hyperlink ref="X348" r:id="rId676" display="открыть"/>
    <hyperlink ref="W349" r:id="rId677" display="открыть"/>
    <hyperlink ref="X349" r:id="rId678" display="открыть"/>
    <hyperlink ref="W350" r:id="rId679" display="открыть"/>
    <hyperlink ref="X350" r:id="rId680" display="открыть"/>
    <hyperlink ref="W351" r:id="rId681" display="открыть"/>
    <hyperlink ref="X351" r:id="rId682" display="открыть"/>
    <hyperlink ref="W352" r:id="rId683" display="открыть"/>
    <hyperlink ref="X352" r:id="rId684" display="открыть"/>
    <hyperlink ref="W353" r:id="rId685" display="открыть"/>
    <hyperlink ref="X353" r:id="rId686" display="открыть"/>
    <hyperlink ref="W354" r:id="rId687" display="открыть"/>
    <hyperlink ref="X354" r:id="rId688" display="открыть"/>
    <hyperlink ref="W355" r:id="rId689" display="открыть"/>
    <hyperlink ref="X355" r:id="rId690" display="открыть"/>
    <hyperlink ref="W356" r:id="rId691" display="открыть"/>
    <hyperlink ref="X356" r:id="rId692" display="открыть"/>
    <hyperlink ref="W357" r:id="rId693" display="открыть"/>
    <hyperlink ref="X357" r:id="rId694" display="открыть"/>
    <hyperlink ref="W358" r:id="rId695" display="открыть"/>
    <hyperlink ref="X358" r:id="rId696" display="открыть"/>
    <hyperlink ref="W359" r:id="rId697" display="открыть"/>
    <hyperlink ref="X359" r:id="rId698" display="открыть"/>
    <hyperlink ref="W360" r:id="rId699" display="открыть"/>
    <hyperlink ref="X360" r:id="rId700" display="открыть"/>
    <hyperlink ref="W361" r:id="rId701" display="открыть"/>
    <hyperlink ref="X361" r:id="rId702" display="открыть"/>
    <hyperlink ref="W362" r:id="rId703" display="открыть"/>
    <hyperlink ref="X362" r:id="rId704" display="открыть"/>
    <hyperlink ref="W363" r:id="rId705" display="открыть"/>
    <hyperlink ref="X363" r:id="rId706" display="открыть"/>
    <hyperlink ref="W364" r:id="rId707" display="открыть"/>
    <hyperlink ref="X364" r:id="rId708" display="открыть"/>
    <hyperlink ref="W365" r:id="rId709" display="открыть"/>
    <hyperlink ref="X365" r:id="rId710" display="открыть"/>
    <hyperlink ref="W366" r:id="rId711" display="открыть"/>
    <hyperlink ref="X366" r:id="rId712" display="открыть"/>
    <hyperlink ref="W367" r:id="rId713" display="открыть"/>
    <hyperlink ref="X367" r:id="rId714" display="открыть"/>
    <hyperlink ref="W368" r:id="rId715" display="открыть"/>
    <hyperlink ref="X368" r:id="rId716" display="открыть"/>
    <hyperlink ref="W369" r:id="rId717" display="открыть"/>
    <hyperlink ref="X369" r:id="rId718" display="открыть"/>
    <hyperlink ref="W370" r:id="rId719" display="открыть"/>
    <hyperlink ref="X370" r:id="rId720" display="открыть"/>
    <hyperlink ref="W371" r:id="rId721" display="открыть"/>
    <hyperlink ref="X371" r:id="rId722" display="открыть"/>
    <hyperlink ref="W372" r:id="rId723" display="открыть"/>
    <hyperlink ref="X372" r:id="rId724" display="открыть"/>
    <hyperlink ref="W373" r:id="rId725" display="открыть"/>
    <hyperlink ref="X373" r:id="rId726" display="открыть"/>
    <hyperlink ref="W374" r:id="rId727" display="открыть"/>
    <hyperlink ref="X374" r:id="rId728" display="открыть"/>
    <hyperlink ref="W375" r:id="rId729" display="открыть"/>
    <hyperlink ref="X375" r:id="rId730" display="открыть"/>
    <hyperlink ref="W376" r:id="rId731" display="открыть"/>
    <hyperlink ref="X376" r:id="rId732" display="открыть"/>
    <hyperlink ref="W377" r:id="rId733" display="открыть"/>
    <hyperlink ref="X377" r:id="rId734" display="открыть"/>
    <hyperlink ref="W378" r:id="rId735" display="открыть"/>
    <hyperlink ref="X378" r:id="rId736" display="открыть"/>
    <hyperlink ref="W379" r:id="rId737" display="открыть"/>
    <hyperlink ref="X379" r:id="rId738" display="открыть"/>
    <hyperlink ref="W380" r:id="rId739" display="открыть"/>
    <hyperlink ref="X380" r:id="rId740" display="открыть"/>
    <hyperlink ref="W381" r:id="rId741" display="открыть"/>
    <hyperlink ref="X381" r:id="rId742" display="открыть"/>
    <hyperlink ref="W382" r:id="rId743" display="открыть"/>
    <hyperlink ref="X382" r:id="rId744" display="открыть"/>
    <hyperlink ref="W383" r:id="rId745" display="открыть"/>
    <hyperlink ref="X383" r:id="rId746" display="открыть"/>
    <hyperlink ref="W384" r:id="rId747" display="открыть"/>
    <hyperlink ref="X384" r:id="rId748" display="открыть"/>
    <hyperlink ref="W385" r:id="rId749" display="открыть"/>
    <hyperlink ref="X385" r:id="rId750" display="открыть"/>
    <hyperlink ref="W386" r:id="rId751" display="открыть"/>
    <hyperlink ref="X386" r:id="rId752" display="открыть"/>
    <hyperlink ref="W387" r:id="rId753" display="открыть"/>
    <hyperlink ref="X387" r:id="rId754" display="открыть"/>
    <hyperlink ref="W388" r:id="rId755" display="открыть"/>
    <hyperlink ref="X388" r:id="rId756" display="открыть"/>
    <hyperlink ref="W389" r:id="rId757" display="открыть"/>
    <hyperlink ref="X389" r:id="rId758" display="открыть"/>
    <hyperlink ref="W390" r:id="rId759" display="открыть"/>
    <hyperlink ref="X390" r:id="rId760" display="открыть"/>
    <hyperlink ref="W391" r:id="rId761" display="открыть"/>
    <hyperlink ref="X391" r:id="rId762" display="открыть"/>
    <hyperlink ref="W392" r:id="rId763" display="открыть"/>
    <hyperlink ref="X392" r:id="rId764" display="открыть"/>
    <hyperlink ref="W393" r:id="rId765" display="открыть"/>
    <hyperlink ref="X393" r:id="rId766" display="открыть"/>
    <hyperlink ref="W394" r:id="rId767" display="открыть"/>
    <hyperlink ref="X394" r:id="rId768" display="открыть"/>
    <hyperlink ref="W395" r:id="rId769" display="открыть"/>
    <hyperlink ref="X395" r:id="rId770" display="открыть"/>
    <hyperlink ref="W396" r:id="rId771" display="открыть"/>
    <hyperlink ref="X396" r:id="rId772" display="открыть"/>
    <hyperlink ref="W397" r:id="rId773" display="открыть"/>
    <hyperlink ref="X397" r:id="rId774" display="открыть"/>
    <hyperlink ref="W398" r:id="rId775" display="открыть"/>
    <hyperlink ref="X398" r:id="rId776" display="открыть"/>
    <hyperlink ref="W399" r:id="rId777" display="открыть"/>
    <hyperlink ref="X399" r:id="rId778" display="открыть"/>
    <hyperlink ref="W400" r:id="rId779" display="открыть"/>
    <hyperlink ref="X400" r:id="rId780" display="открыть"/>
    <hyperlink ref="W401" r:id="rId781" display="открыть"/>
    <hyperlink ref="X401" r:id="rId782" display="открыть"/>
    <hyperlink ref="W402" r:id="rId783" display="открыть"/>
    <hyperlink ref="X402" r:id="rId784" display="открыть"/>
    <hyperlink ref="W403" r:id="rId785" display="открыть"/>
    <hyperlink ref="X403" r:id="rId786" display="открыть"/>
    <hyperlink ref="W404" r:id="rId787" display="открыть"/>
    <hyperlink ref="X404" r:id="rId788" display="открыть"/>
    <hyperlink ref="W405" r:id="rId789" display="открыть"/>
    <hyperlink ref="X405" r:id="rId790" display="открыть"/>
    <hyperlink ref="W406" r:id="rId791" display="открыть"/>
    <hyperlink ref="X406" r:id="rId792" display="открыть"/>
    <hyperlink ref="W407" r:id="rId793" display="открыть"/>
    <hyperlink ref="X407" r:id="rId794" display="открыть"/>
    <hyperlink ref="W408" r:id="rId795" display="открыть"/>
    <hyperlink ref="X408" r:id="rId796" display="открыть"/>
    <hyperlink ref="W409" r:id="rId797" display="открыть"/>
    <hyperlink ref="X409" r:id="rId798" display="открыть"/>
    <hyperlink ref="W410" r:id="rId799" display="открыть"/>
    <hyperlink ref="X410" r:id="rId800" display="открыть"/>
    <hyperlink ref="W411" r:id="rId801" display="открыть"/>
    <hyperlink ref="X411" r:id="rId802" display="открыт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03"/>
  <legacyDrawing r:id="rId80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13" t="s">
        <v>1465</v>
      </c>
    </row>
    <row r="2" customFormat="false" ht="15" hidden="false" customHeight="true" outlineLevel="0" collapsed="false">
      <c r="A2" s="14"/>
    </row>
    <row r="3" customFormat="false" ht="15" hidden="false" customHeight="true" outlineLevel="0" collapsed="false">
      <c r="A3" s="15" t="s">
        <v>1466</v>
      </c>
    </row>
    <row r="4" customFormat="false" ht="15" hidden="false" customHeight="true" outlineLevel="0" collapsed="false">
      <c r="A4" s="16" t="s">
        <v>1467</v>
      </c>
    </row>
    <row r="5" customFormat="false" ht="15" hidden="false" customHeight="true" outlineLevel="0" collapsed="false">
      <c r="A5" s="16" t="s">
        <v>1468</v>
      </c>
    </row>
    <row r="6" customFormat="false" ht="15" hidden="false" customHeight="true" outlineLevel="0" collapsed="false">
      <c r="A6" s="16" t="s">
        <v>1469</v>
      </c>
    </row>
    <row r="7" customFormat="false" ht="15" hidden="false" customHeight="true" outlineLevel="0" collapsed="false">
      <c r="A7" s="16" t="s">
        <v>1470</v>
      </c>
    </row>
    <row r="8" customFormat="false" ht="15" hidden="false" customHeight="true" outlineLevel="0" collapsed="false">
      <c r="A8" s="16" t="s">
        <v>1471</v>
      </c>
    </row>
    <row r="9" customFormat="false" ht="15" hidden="false" customHeight="true" outlineLevel="0" collapsed="false">
      <c r="A9" s="16" t="s">
        <v>1472</v>
      </c>
    </row>
    <row r="10" customFormat="false" ht="15" hidden="false" customHeight="true" outlineLevel="0" collapsed="false">
      <c r="A10" s="14"/>
    </row>
    <row r="11" customFormat="false" ht="15" hidden="false" customHeight="true" outlineLevel="0" collapsed="false">
      <c r="A11" s="15" t="s">
        <v>1473</v>
      </c>
    </row>
    <row r="12" customFormat="false" ht="15" hidden="false" customHeight="true" outlineLevel="0" collapsed="false">
      <c r="A12" s="16" t="s">
        <v>1474</v>
      </c>
    </row>
    <row r="13" customFormat="false" ht="15" hidden="false" customHeight="true" outlineLevel="0" collapsed="false">
      <c r="A13" s="16" t="s">
        <v>1475</v>
      </c>
    </row>
    <row r="14" customFormat="false" ht="15" hidden="false" customHeight="true" outlineLevel="0" collapsed="false">
      <c r="A14" s="16" t="s">
        <v>1476</v>
      </c>
    </row>
    <row r="15" customFormat="false" ht="15" hidden="false" customHeight="true" outlineLevel="0" collapsed="false">
      <c r="A15" s="14"/>
    </row>
    <row r="16" customFormat="false" ht="15" hidden="false" customHeight="true" outlineLevel="0" collapsed="false">
      <c r="A16" s="15" t="s">
        <v>1477</v>
      </c>
    </row>
    <row r="17" customFormat="false" ht="15" hidden="false" customHeight="true" outlineLevel="0" collapsed="false">
      <c r="A17" s="16" t="s">
        <v>1478</v>
      </c>
    </row>
    <row r="18" customFormat="false" ht="15" hidden="false" customHeight="true" outlineLevel="0" collapsed="false">
      <c r="A18" s="16" t="s">
        <v>1479</v>
      </c>
    </row>
    <row r="19" customFormat="false" ht="15" hidden="false" customHeight="true" outlineLevel="0" collapsed="false">
      <c r="A19" s="16" t="s">
        <v>1480</v>
      </c>
    </row>
    <row r="20" customFormat="false" ht="15" hidden="false" customHeight="true" outlineLevel="0" collapsed="false">
      <c r="A20" s="16" t="s">
        <v>1481</v>
      </c>
    </row>
    <row r="21" customFormat="false" ht="15" hidden="false" customHeight="true" outlineLevel="0" collapsed="false">
      <c r="A21" s="16" t="s">
        <v>1482</v>
      </c>
    </row>
    <row r="22" customFormat="false" ht="15" hidden="false" customHeight="true" outlineLevel="0" collapsed="false">
      <c r="A22" s="14"/>
    </row>
    <row r="23" customFormat="false" ht="15" hidden="false" customHeight="true" outlineLevel="0" collapsed="false">
      <c r="A23" s="15" t="s">
        <v>1483</v>
      </c>
    </row>
    <row r="24" customFormat="false" ht="23.25" hidden="false" customHeight="true" outlineLevel="0" collapsed="false">
      <c r="A24" s="16" t="s">
        <v>1484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LibreOffice/24.8.0.3$MacOSX_AARCH64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2026-09-18T18:53:38Z</dcterms:created>
  <dc:creator>openpyxl</dc:creator>
  <dc:description/>
  <dc:language>ru-RU</dc:language>
  <cp:lastModifiedBy/>
  <dcterms:modified xsi:type="dcterms:W3CDTF">2026-09-21T16:54:24Z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